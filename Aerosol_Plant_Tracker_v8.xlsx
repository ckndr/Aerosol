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HOW TO UPDATE" sheetId="3" state="visible" r:id="rId5"/>
  </sheets>
  <definedNames>
    <definedName function="false" hidden="true" localSheetId="1" name="_xlnm._FilterDatabase" vbProcedure="false">TRACKER!$A$2:$I$131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<sst xmlns="http://schemas.openxmlformats.org/spreadsheetml/2006/main" count="786" uniqueCount="235">
  <si>
    <t xml:space="preserve">AEROSOL PLANT  ·  INSTALLATION DASHBOARD</t>
  </si>
  <si>
    <t xml:space="preserve">Last Updated</t>
  </si>
  <si>
    <t xml:space="preserve">Total Tasks</t>
  </si>
  <si>
    <t xml:space="preserve">Completed</t>
  </si>
  <si>
    <t xml:space="preserve">In Progress</t>
  </si>
  <si>
    <t xml:space="preserve">Not Started</t>
  </si>
  <si>
    <t xml:space="preserve">Blocked</t>
  </si>
  <si>
    <t xml:space="preserve">MACHINE SECTIONS</t>
  </si>
  <si>
    <t xml:space="preserve">Machine  (tap to view tasks)</t>
  </si>
  <si>
    <t xml:space="preserve">⚡ Elec. Pending</t>
  </si>
  <si>
    <t xml:space="preserve">⚙ Mech. Pending</t>
  </si>
  <si>
    <t xml:space="preserve">Total Pending</t>
  </si>
  <si>
    <t xml:space="preserve">✓ Done</t>
  </si>
  <si>
    <t xml:space="preserve">Press</t>
  </si>
  <si>
    <t xml:space="preserve">Trimming</t>
  </si>
  <si>
    <t xml:space="preserve">Washing</t>
  </si>
  <si>
    <t xml:space="preserve">Lacquer</t>
  </si>
  <si>
    <t xml:space="preserve">Base Coat</t>
  </si>
  <si>
    <t xml:space="preserve">Printing</t>
  </si>
  <si>
    <t xml:space="preserve">Over Varnish</t>
  </si>
  <si>
    <t xml:space="preserve">Main Oven</t>
  </si>
  <si>
    <t xml:space="preserve">Necking</t>
  </si>
  <si>
    <t xml:space="preserve">Mixer</t>
  </si>
  <si>
    <t xml:space="preserve">General</t>
  </si>
  <si>
    <t xml:space="preserve">PENDING BY PRIORITY</t>
  </si>
  <si>
    <t xml:space="preserve">High Priority</t>
  </si>
  <si>
    <t xml:space="preserve">Medium Priority</t>
  </si>
  <si>
    <t xml:space="preserve">Low Priority</t>
  </si>
  <si>
    <t xml:space="preserve">STATUS REFERENCE</t>
  </si>
  <si>
    <t xml:space="preserve">Pending Procurement</t>
  </si>
  <si>
    <t xml:space="preserve">AEROSOL PLANT  ·  INSTALLATION TRACKER</t>
  </si>
  <si>
    <t xml:space="preserve">← Dashboard</t>
  </si>
  <si>
    <t xml:space="preserve">#</t>
  </si>
  <si>
    <t xml:space="preserve">Machine</t>
  </si>
  <si>
    <t xml:space="preserve">Category</t>
  </si>
  <si>
    <t xml:space="preserve">Task Description</t>
  </si>
  <si>
    <t xml:space="preserve">Priority</t>
  </si>
  <si>
    <t xml:space="preserve">Progress</t>
  </si>
  <si>
    <t xml:space="preserve">Status</t>
  </si>
  <si>
    <t xml:space="preserve">Remarks</t>
  </si>
  <si>
    <t xml:space="preserve">Updated</t>
  </si>
  <si>
    <t xml:space="preserve">Electrical</t>
  </si>
  <si>
    <t xml:space="preserve">Close all electrical panels and cable trays</t>
  </si>
  <si>
    <t xml:space="preserve">High</t>
  </si>
  <si>
    <t xml:space="preserve">SOV pneumatic press clutch service</t>
  </si>
  <si>
    <t xml:space="preserve">–</t>
  </si>
  <si>
    <t xml:space="preserve">Hopper motor installation and testing (Dry Run)</t>
  </si>
  <si>
    <t xml:space="preserve">Hopper Motor installation</t>
  </si>
  <si>
    <t xml:space="preserve">Cable trays installation</t>
  </si>
  <si>
    <t xml:space="preserve">Mechanical</t>
  </si>
  <si>
    <t xml:space="preserve">Slug Feeding Hopper with switch — complete unit</t>
  </si>
  <si>
    <t xml:space="preserve">Gear Oil Lubrication pumping system setup</t>
  </si>
  <si>
    <t xml:space="preserve">Pump sent for repairing</t>
  </si>
  <si>
    <t xml:space="preserve">Welding &amp; fixing gear oil tank brackets and sheet</t>
  </si>
  <si>
    <t xml:space="preserve">Medium</t>
  </si>
  <si>
    <t xml:space="preserve">Press machine auto lubrication — pending tasks</t>
  </si>
  <si>
    <t xml:space="preserve">Procurement in process</t>
  </si>
  <si>
    <t xml:space="preserve">Tools for press machine — urgent procurement</t>
  </si>
  <si>
    <t xml:space="preserve">In progress</t>
  </si>
  <si>
    <t xml:space="preserve">02 Dust collection pipes to be installed</t>
  </si>
  <si>
    <t xml:space="preserve">Dust Collection blower — connection with piping</t>
  </si>
  <si>
    <t xml:space="preserve">Blower to be procured</t>
  </si>
  <si>
    <t xml:space="preserve">Fix lubrication tray with slope for drainage</t>
  </si>
  <si>
    <t xml:space="preserve">Oil collection tank — place directly under tray</t>
  </si>
  <si>
    <t xml:space="preserve">Operator Platform (incomplete stand) to be made</t>
  </si>
  <si>
    <t xml:space="preserve">Low</t>
  </si>
  <si>
    <t xml:space="preserve">Damping rubber pads over slug feeding tray</t>
  </si>
  <si>
    <t xml:space="preserve">Scoop (chamach) required for slug handling</t>
  </si>
  <si>
    <t xml:space="preserve">Khalid sb</t>
  </si>
  <si>
    <t xml:space="preserve">Baling machine check from local vendor</t>
  </si>
  <si>
    <t xml:space="preserve">Press machine auto running on slug</t>
  </si>
  <si>
    <t xml:space="preserve">Awaiting pending task completion</t>
  </si>
  <si>
    <t xml:space="preserve">Auto gripper fitting / checking</t>
  </si>
  <si>
    <t xml:space="preserve">Slug Holder channel</t>
  </si>
  <si>
    <t xml:space="preserve">Press main slide installation</t>
  </si>
  <si>
    <t xml:space="preserve">Press conveyor fixation</t>
  </si>
  <si>
    <t xml:space="preserve">Oil pump motor repairing</t>
  </si>
  <si>
    <t xml:space="preserve">Press &amp; Trimming compressor line fixed</t>
  </si>
  <si>
    <t xml:space="preserve">Press Clutch NRV repaired</t>
  </si>
  <si>
    <t xml:space="preserve">Oil pump replacing and troubleshooting</t>
  </si>
  <si>
    <t xml:space="preserve">Press timing and alignment with testing</t>
  </si>
  <si>
    <t xml:space="preserve">Die &amp; punch stroke setting</t>
  </si>
  <si>
    <t xml:space="preserve">Scrap collector wiring and troubleshooting</t>
  </si>
  <si>
    <t xml:space="preserve">Magnetic switch faulty — to be changed</t>
  </si>
  <si>
    <t xml:space="preserve">Electrical Panel checked / Tested</t>
  </si>
  <si>
    <t xml:space="preserve">Startup main motor</t>
  </si>
  <si>
    <t xml:space="preserve">Pneumatic and Electrical operation check</t>
  </si>
  <si>
    <t xml:space="preserve">Oiling / greasing / parts replacement / testing</t>
  </si>
  <si>
    <t xml:space="preserve">Oil pump maintenance pending</t>
  </si>
  <si>
    <t xml:space="preserve">Trimming machine dry run</t>
  </si>
  <si>
    <t xml:space="preserve">Dry run awaiting — cutter blade sent for sharpening</t>
  </si>
  <si>
    <t xml:space="preserve">Trimming startup</t>
  </si>
  <si>
    <t xml:space="preserve">Conveyor alignment — Trimming to Washing</t>
  </si>
  <si>
    <t xml:space="preserve">Conveyor — Press to Trimming input</t>
  </si>
  <si>
    <t xml:space="preserve">Heaters to be checked and replaced if required</t>
  </si>
  <si>
    <t xml:space="preserve">After press &amp; trimming startup</t>
  </si>
  <si>
    <t xml:space="preserve">Disconnect wiring before washing the machine</t>
  </si>
  <si>
    <t xml:space="preserve">Ensure all exhaust fans on floor are operational</t>
  </si>
  <si>
    <t xml:space="preserve">Cable &amp; connection required — UTI team</t>
  </si>
  <si>
    <t xml:space="preserve">Chain Repairing</t>
  </si>
  <si>
    <t xml:space="preserve">Sent to Karachi for repairing</t>
  </si>
  <si>
    <t xml:space="preserve">Process identification, missing parts, inspection</t>
  </si>
  <si>
    <t xml:space="preserve">In collaboration with Lindsay</t>
  </si>
  <si>
    <t xml:space="preserve">Rinsing Recycling Tank — decoating &amp; cleaning</t>
  </si>
  <si>
    <t xml:space="preserve">Spraying Jets Section — cleaning / scraping</t>
  </si>
  <si>
    <t xml:space="preserve">Washing machine chain — repair and reinstallation check</t>
  </si>
  <si>
    <t xml:space="preserve">Repairing in progress in Karachi — to be checked after installation</t>
  </si>
  <si>
    <t xml:space="preserve">Washing machine piping and blower installation</t>
  </si>
  <si>
    <t xml:space="preserve">To be checked with Lindsay — blower available for installation</t>
  </si>
  <si>
    <t xml:space="preserve">Separate storage tanks (detergent / cold / hot water)</t>
  </si>
  <si>
    <t xml:space="preserve">Washing rinse recycling tank (rusty) — clean</t>
  </si>
  <si>
    <t xml:space="preserve">Heat exchanger for washing system — procure &amp; install</t>
  </si>
  <si>
    <t xml:space="preserve">Washing process flow — review and implement</t>
  </si>
  <si>
    <t xml:space="preserve">Washing unit tanks — sizes and quantities for quotation</t>
  </si>
  <si>
    <t xml:space="preserve">Sizes &amp; quantities to be provided for quotation</t>
  </si>
  <si>
    <t xml:space="preserve">Washing unit drain plan — flexible pipes after tank installation</t>
  </si>
  <si>
    <t xml:space="preserve">To be installed after tank installation</t>
  </si>
  <si>
    <t xml:space="preserve">Inspect all rubber pipes — replace if damaged</t>
  </si>
  <si>
    <t xml:space="preserve">After chain arrival — Khalid sb</t>
  </si>
  <si>
    <t xml:space="preserve">All gears greasing</t>
  </si>
  <si>
    <t xml:space="preserve">Gears alignment</t>
  </si>
  <si>
    <t xml:space="preserve">All heaters — check, fix or replace faulty</t>
  </si>
  <si>
    <t xml:space="preserve">2 faulty heaters need replacement</t>
  </si>
  <si>
    <t xml:space="preserve">Air filter to be installed before lacquer line</t>
  </si>
  <si>
    <t xml:space="preserve">Blower main motor connection and testing</t>
  </si>
  <si>
    <t xml:space="preserve">Cans Holders — dismantled, clean with thinner</t>
  </si>
  <si>
    <t xml:space="preserve">Small dedicated air tank / receiver for lacquer</t>
  </si>
  <si>
    <t xml:space="preserve">Spray Guns — cleaned with thinner</t>
  </si>
  <si>
    <t xml:space="preserve">Spray Mount Drum — scraped &amp; cleaned</t>
  </si>
  <si>
    <t xml:space="preserve">Mandrel Plate — scraped &amp; cleaned</t>
  </si>
  <si>
    <t xml:space="preserve">Exhaust Sieve — cleaned</t>
  </si>
  <si>
    <t xml:space="preserve">Frame Body — cleaned</t>
  </si>
  <si>
    <t xml:space="preserve">Oven Chain cleaning</t>
  </si>
  <si>
    <t xml:space="preserve">Rollers — dismantled, to be chrome plated</t>
  </si>
  <si>
    <t xml:space="preserve">Sent for chrome plating</t>
  </si>
  <si>
    <t xml:space="preserve">Rollers Housing — cleaned and greased</t>
  </si>
  <si>
    <t xml:space="preserve">Mandrels — cleaned</t>
  </si>
  <si>
    <t xml:space="preserve">Servo motor troubleshooting</t>
  </si>
  <si>
    <t xml:space="preserve">White LED lighting for printing and oven area</t>
  </si>
  <si>
    <t xml:space="preserve">Final printing plan and PLC delivery &amp; inspection</t>
  </si>
  <si>
    <t xml:space="preserve">PLC and supporting items to be delivered and inspected — Material in transit</t>
  </si>
  <si>
    <t xml:space="preserve">CTC cleaning of machine panels interface</t>
  </si>
  <si>
    <t xml:space="preserve">PLC installation</t>
  </si>
  <si>
    <t xml:space="preserve">All printing rollers — dismantle, clean, buff, chrome plate</t>
  </si>
  <si>
    <t xml:space="preserve">Rollers (Tubex team) — ready for chrome plating</t>
  </si>
  <si>
    <t xml:space="preserve">Bearings — cleaning &amp; greasing</t>
  </si>
  <si>
    <t xml:space="preserve">Ink Fountain — cleaning</t>
  </si>
  <si>
    <t xml:space="preserve">Roller Train Frame — cleaning</t>
  </si>
  <si>
    <t xml:space="preserve">Printing machine rollers — deep clean, rubber &amp; chrome inspection</t>
  </si>
  <si>
    <t xml:space="preserve">Deep cleaning in progress; rubber roller quotation taken; chrome coating to be checked after inspection</t>
  </si>
  <si>
    <t xml:space="preserve">Aluminium oil tank — fabricate &amp; install</t>
  </si>
  <si>
    <t xml:space="preserve">Motors checking and troubleshooting</t>
  </si>
  <si>
    <t xml:space="preserve">Blower motor connection and testing</t>
  </si>
  <si>
    <t xml:space="preserve">Motors alignment w.r.t marking</t>
  </si>
  <si>
    <t xml:space="preserve">Necking machine — electrical supply troubleshooting for dry run</t>
  </si>
  <si>
    <t xml:space="preserve">Interlocking will be redesigned and checked</t>
  </si>
  <si>
    <t xml:space="preserve">Electrical troubleshooting and testing</t>
  </si>
  <si>
    <t xml:space="preserve">Cans Grippers / Holders — cleaning</t>
  </si>
  <si>
    <t xml:space="preserve">Tubex team</t>
  </si>
  <si>
    <t xml:space="preserve">Two sets of press dies, springs &amp; nut bolts required</t>
  </si>
  <si>
    <t xml:space="preserve">Buffing and polishing on necking machine tools</t>
  </si>
  <si>
    <t xml:space="preserve">Kluber oil &amp; grease for necking machine</t>
  </si>
  <si>
    <t xml:space="preserve">Mixer installation and automation — auto feeding flow design</t>
  </si>
  <si>
    <t xml:space="preserve">Flow to be designed for auto feeding on press — quotation awaiting for conveyor</t>
  </si>
  <si>
    <t xml:space="preserve">Main motor testing</t>
  </si>
  <si>
    <t xml:space="preserve">Ensure all electrical circuits &amp; cable trays closed</t>
  </si>
  <si>
    <t xml:space="preserve">After each section completion — Khalid sb</t>
  </si>
  <si>
    <t xml:space="preserve">Transformer load increase to 625 kW — utility application</t>
  </si>
  <si>
    <t xml:space="preserve">Application in process</t>
  </si>
  <si>
    <t xml:space="preserve">Testing of Control Logics &amp; Circuits</t>
  </si>
  <si>
    <t xml:space="preserve">Target: 05-Apr-2026</t>
  </si>
  <si>
    <t xml:space="preserve">Termination of cables &amp; wires — Pre-commissioning</t>
  </si>
  <si>
    <t xml:space="preserve">Target: 15-Apr-2026</t>
  </si>
  <si>
    <t xml:space="preserve">Verify electrical panels, control wiring, interlocks</t>
  </si>
  <si>
    <t xml:space="preserve">Target: 10-May-2026</t>
  </si>
  <si>
    <t xml:space="preserve">Identify faulty machines / panels for rectification</t>
  </si>
  <si>
    <t xml:space="preserve">Target: 15-May-2026</t>
  </si>
  <si>
    <t xml:space="preserve">Verify electrical panels, wiring &amp; interlocks — Press to Washing</t>
  </si>
  <si>
    <t xml:space="preserve">Pending until Washing Machine electrical work is completed</t>
  </si>
  <si>
    <t xml:space="preserve">Verify electrical panels, wiring &amp; interlocks — Washing to Necking</t>
  </si>
  <si>
    <t xml:space="preserve">After material procurement; electrical revamping team to be deputed</t>
  </si>
  <si>
    <t xml:space="preserve">Main Power Cable Termination &amp; Execution Plan</t>
  </si>
  <si>
    <t xml:space="preserve">Wires and auxiliaries to be ordered against BOQ</t>
  </si>
  <si>
    <t xml:space="preserve">Electrical panels for power distribution — procurement review</t>
  </si>
  <si>
    <t xml:space="preserve">New panels arranged; feedback needed on further procurement items</t>
  </si>
  <si>
    <t xml:space="preserve">Main header &amp; distribution line to all sections</t>
  </si>
  <si>
    <t xml:space="preserve">Ensure proper cleaning of entire machine</t>
  </si>
  <si>
    <t xml:space="preserve">Full unit inspection with Mr. Babar's team</t>
  </si>
  <si>
    <t xml:space="preserve">Compressor piping — dryer and auto drain system</t>
  </si>
  <si>
    <t xml:space="preserve">Mechanical and electrical installation in process</t>
  </si>
  <si>
    <t xml:space="preserve">Machine Operating Manuals — arrange from OEM</t>
  </si>
  <si>
    <t xml:space="preserve">Required in Russian and German language</t>
  </si>
  <si>
    <t xml:space="preserve">Daily coordination &amp; reporting mechanism</t>
  </si>
  <si>
    <t xml:space="preserve">As per the plan</t>
  </si>
  <si>
    <t xml:space="preserve">Check motors, conveyors, spindles, ovens, actuators</t>
  </si>
  <si>
    <t xml:space="preserve">Test each machine individually without load</t>
  </si>
  <si>
    <t xml:space="preserve">Overall machine paint</t>
  </si>
  <si>
    <t xml:space="preserve">Modify exhaust duct pipes — prevent rainwater entry</t>
  </si>
  <si>
    <t xml:space="preserve">Awaiting quotation — Khalid sb</t>
  </si>
  <si>
    <t xml:space="preserve">Check &amp; install lubrication drum foundation</t>
  </si>
  <si>
    <t xml:space="preserve">On startup — Khalid sb</t>
  </si>
  <si>
    <t xml:space="preserve">Make stands for all spare rolls</t>
  </si>
  <si>
    <t xml:space="preserve">Full operator toolset &amp; tool trolley system</t>
  </si>
  <si>
    <t xml:space="preserve">Lab equipment to be sourced</t>
  </si>
  <si>
    <t xml:space="preserve">Filter plant — fix for drinking water</t>
  </si>
  <si>
    <t xml:space="preserve">Dust bins for office areas</t>
  </si>
  <si>
    <t xml:space="preserve">Big cartons for temporary storage of cans</t>
  </si>
  <si>
    <t xml:space="preserve">Boxes / Bins for cans packing (Alpha Container)</t>
  </si>
  <si>
    <t xml:space="preserve">Mr. Lindsay next visit — finalize commissioning dates</t>
  </si>
  <si>
    <t xml:space="preserve">Final commissioning visit dates to be finalized upon startup</t>
  </si>
  <si>
    <t xml:space="preserve">Dismantle all rollers for inspection</t>
  </si>
  <si>
    <t xml:space="preserve">Done — Khalid sb</t>
  </si>
  <si>
    <t xml:space="preserve">HOW TO UPDATE — QUICK GUIDE</t>
  </si>
  <si>
    <t xml:space="preserve">COLUMN / STEP</t>
  </si>
  <si>
    <t xml:space="preserve">INSTRUCTION</t>
  </si>
  <si>
    <t xml:space="preserve">COLUMN</t>
  </si>
  <si>
    <t xml:space="preserve">WHAT TO DO</t>
  </si>
  <si>
    <t xml:space="preserve">Click the cell — a dropdown appears. Pick the machine name.</t>
  </si>
  <si>
    <t xml:space="preserve">Pick Electrical or Mechanical from the dropdown.</t>
  </si>
  <si>
    <t xml:space="preserve">Type the task clearly and briefly.</t>
  </si>
  <si>
    <t xml:space="preserve">High = urgent / blocking.  Medium = important.  Low = when possible.</t>
  </si>
  <si>
    <t xml:space="preserve">Type a number: 0 = not started,  50 = halfway done,  100 = complete.</t>
  </si>
  <si>
    <t xml:space="preserve">Pick from dropdown: Not Started / In Progress / Completed / Blocked / Pending Procurement.</t>
  </si>
  <si>
    <t xml:space="preserve">Short notes — vendor, reason for delay, Khalid sb instruction, etc.</t>
  </si>
  <si>
    <t xml:space="preserve">Type today's date when you update any row.</t>
  </si>
  <si>
    <t xml:space="preserve">Add a new task</t>
  </si>
  <si>
    <t xml:space="preserve">Scroll to the bottom. Type in the next empty row. All dropdowns work there too.</t>
  </si>
  <si>
    <t xml:space="preserve">Filter by machine</t>
  </si>
  <si>
    <t xml:space="preserve">Click the filter arrow (▼) on the Machine column. Tick only the machine you want.</t>
  </si>
  <si>
    <t xml:space="preserve">Hide completed</t>
  </si>
  <si>
    <t xml:space="preserve">Click the filter arrow on Status. Untick Completed. Click OK.</t>
  </si>
  <si>
    <t xml:space="preserve">Dashboard links</t>
  </si>
  <si>
    <t xml:space="preserve">On the Dashboard, click any machine name (underlined blue) to jump straight to it.</t>
  </si>
  <si>
    <t xml:space="preserve">Back to Dashboard</t>
  </si>
  <si>
    <t xml:space="preserve">In the Tracker, click '← Dashboard' in the top-right corner of the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</si>
</sst>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%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8"/>
      <color rgb="FF9CA3AF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b val="true"/>
      <sz val="8"/>
      <color rgb="FF6B7280"/>
      <name val="Calibri"/>
      <family val="0"/>
      <charset val="1"/>
    </font>
    <font>
      <b val="true"/>
      <sz val="28"/>
      <color rgb="FF1F4E79"/>
      <name val="Calibri"/>
      <family val="0"/>
      <charset val="1"/>
    </font>
    <font>
      <b val="true"/>
      <sz val="28"/>
      <color rgb="FF166534"/>
      <name val="Calibri"/>
      <family val="0"/>
      <charset val="1"/>
    </font>
    <font>
      <b val="true"/>
      <sz val="28"/>
      <color rgb="FF92400E"/>
      <name val="Calibri"/>
      <family val="0"/>
      <charset val="1"/>
    </font>
    <font>
      <b val="true"/>
      <sz val="28"/>
      <color rgb="FF374151"/>
      <name val="Calibri"/>
      <family val="0"/>
      <charset val="1"/>
    </font>
    <font>
      <b val="true"/>
      <sz val="28"/>
      <color rgb="FFB91C1C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8"/>
      <color rgb="FF374151"/>
      <name val="Calibri"/>
      <family val="0"/>
      <charset val="1"/>
    </font>
    <font>
      <b val="true"/>
      <u val="single"/>
      <sz val="9"/>
      <color rgb="FF1D4ED8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6"/>
      <color rgb="FFB91C1C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6"/>
      <color rgb="FF92400E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6"/>
      <color rgb="FF166534"/>
      <name val="Calibri"/>
      <family val="0"/>
      <charset val="1"/>
    </font>
    <font>
      <b val="true"/>
      <sz val="8"/>
      <color rgb="FFB45309"/>
      <name val="Calibri"/>
      <family val="0"/>
      <charset val="1"/>
    </font>
    <font>
      <b val="true"/>
      <sz val="8"/>
      <color rgb="FFB91C1C"/>
      <name val="Calibri"/>
      <family val="0"/>
      <charset val="1"/>
    </font>
    <font>
      <b val="true"/>
      <sz val="8"/>
      <color rgb="FF6D28D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u val="single"/>
      <sz val="9"/>
      <color rgb="FFBDD7E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9CA3AF"/>
      <name val="Calibri"/>
      <family val="0"/>
      <charset val="1"/>
    </font>
    <font>
      <b val="true"/>
      <sz val="8"/>
      <color rgb="FF1D4ED8"/>
      <name val="Calibri"/>
      <family val="0"/>
      <charset val="1"/>
    </font>
    <font>
      <sz val="9"/>
      <color rgb="FF1F2937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i val="true"/>
      <sz val="8"/>
      <color rgb="FF6B7280"/>
      <name val="Calibri"/>
      <family val="0"/>
      <charset val="1"/>
    </font>
    <font>
      <i val="true"/>
      <sz val="9"/>
      <color rgb="FF9CA3AF"/>
      <name val="Calibri"/>
      <family val="0"/>
      <charset val="1"/>
    </font>
    <font>
      <sz val="9"/>
      <color rgb="FF9CA3AF"/>
      <name val="Calibri"/>
      <family val="0"/>
      <charset val="1"/>
    </font>
    <font>
      <i val="true"/>
      <sz val="8"/>
      <color rgb="FF9CA3AF"/>
      <name val="Calibri"/>
      <family val="0"/>
      <charset val="1"/>
    </font>
    <font>
      <b val="true"/>
      <sz val="8"/>
      <color rgb="FFC2410C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b val="true"/>
      <sz val="8"/>
      <color rgb="FF166534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F8FAFC"/>
        <bgColor rgb="FFF9FAFB"/>
      </patternFill>
    </fill>
    <fill>
      <patternFill patternType="solid">
        <fgColor rgb="FFF0FDF4"/>
        <bgColor rgb="FFF8FAFC"/>
      </patternFill>
    </fill>
    <fill>
      <patternFill patternType="solid">
        <fgColor rgb="FFFFFBEB"/>
        <bgColor rgb="FFFFF7ED"/>
      </patternFill>
    </fill>
    <fill>
      <patternFill patternType="solid">
        <fgColor rgb="FFF9FAFB"/>
        <bgColor rgb="FFF8FAFC"/>
      </patternFill>
    </fill>
    <fill>
      <patternFill patternType="solid">
        <fgColor rgb="FFFEF2F2"/>
        <bgColor rgb="FFFFF7ED"/>
      </patternFill>
    </fill>
    <fill>
      <patternFill patternType="solid">
        <fgColor rgb="FFFFFFFF"/>
        <bgColor rgb="FFF9FAFB"/>
      </patternFill>
    </fill>
    <fill>
      <patternFill patternType="solid">
        <fgColor rgb="FFF1F5F9"/>
        <bgColor rgb="FFF3F4F6"/>
      </patternFill>
    </fill>
    <fill>
      <patternFill patternType="solid">
        <fgColor rgb="FFF3F4F6"/>
        <bgColor rgb="FFF1F5F9"/>
      </patternFill>
    </fill>
    <fill>
      <patternFill patternType="solid">
        <fgColor rgb="FFF5F3FF"/>
        <bgColor rgb="FFF3F4F6"/>
      </patternFill>
    </fill>
    <fill>
      <patternFill patternType="solid">
        <fgColor rgb="FF2C3E50"/>
        <bgColor rgb="FF374151"/>
      </patternFill>
    </fill>
    <fill>
      <patternFill patternType="solid">
        <fgColor rgb="FFEFF6FF"/>
        <bgColor rgb="FFF1F5F9"/>
      </patternFill>
    </fill>
    <fill>
      <patternFill patternType="solid">
        <fgColor rgb="FFFEE2E2"/>
        <bgColor rgb="FFFEF2F2"/>
      </patternFill>
    </fill>
    <fill>
      <patternFill patternType="solid">
        <fgColor rgb="FFF7F8FA"/>
        <bgColor rgb="FFF8FAFC"/>
      </patternFill>
    </fill>
    <fill>
      <patternFill patternType="solid">
        <fgColor rgb="FFFFF7ED"/>
        <bgColor rgb="FFFFFBEB"/>
      </patternFill>
    </fill>
    <fill>
      <patternFill patternType="solid">
        <fgColor rgb="FFFEF3C7"/>
        <bgColor rgb="FFFFF7ED"/>
      </patternFill>
    </fill>
    <fill>
      <patternFill patternType="solid">
        <fgColor rgb="FFDCFCE7"/>
        <bgColor rgb="FFF0FDF4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1F4E79"/>
      </top>
      <bottom/>
      <diagonal/>
    </border>
    <border diagonalUp="false" diagonalDown="false">
      <left/>
      <right/>
      <top style="medium">
        <color rgb="FF166534"/>
      </top>
      <bottom/>
      <diagonal/>
    </border>
    <border diagonalUp="false" diagonalDown="false">
      <left/>
      <right/>
      <top style="medium">
        <color rgb="FF92400E"/>
      </top>
      <bottom/>
      <diagonal/>
    </border>
    <border diagonalUp="false" diagonalDown="false">
      <left/>
      <right/>
      <top style="medium">
        <color rgb="FF374151"/>
      </top>
      <bottom/>
      <diagonal/>
    </border>
    <border diagonalUp="false" diagonalDown="false">
      <left/>
      <right/>
      <top style="medium">
        <color rgb="FFB91C1C"/>
      </top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D0D7E0"/>
      </top>
      <bottom style="thin">
        <color rgb="FFD0D7E0"/>
      </bottom>
      <diagonal/>
    </border>
    <border diagonalUp="false" diagonalDown="false">
      <left/>
      <right/>
      <top/>
      <bottom style="thin">
        <color rgb="FFD0D7E0"/>
      </bottom>
      <diagonal/>
    </border>
    <border diagonalUp="false" diagonalDown="false">
      <left style="medium">
        <color rgb="FFEF4444"/>
      </left>
      <right/>
      <top/>
      <bottom style="thin">
        <color rgb="FFD0D7E0"/>
      </bottom>
      <diagonal/>
    </border>
    <border diagonalUp="false" diagonalDown="false">
      <left style="medium">
        <color rgb="FFF59E0B"/>
      </left>
      <right/>
      <top/>
      <bottom style="thin">
        <color rgb="FFD0D7E0"/>
      </bottom>
      <diagonal/>
    </border>
    <border diagonalUp="false" diagonalDown="false">
      <left style="medium">
        <color rgb="FF22C55E"/>
      </left>
      <right/>
      <top/>
      <bottom style="thin">
        <color rgb="FFD0D7E0"/>
      </bottom>
      <diagonal/>
    </border>
    <border diagonalUp="false" diagonalDown="false"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8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2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2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9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5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9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8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3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8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ont>
        <name val="Calibri"/>
        <charset val="1"/>
        <family val="0"/>
        <b val="1"/>
        <color rgb="FF6B7280"/>
        <sz val="8"/>
      </font>
      <fill>
        <patternFill>
          <bgColor rgb="FFF3F4F6"/>
        </patternFill>
      </fill>
    </dxf>
    <dxf>
      <font>
        <name val="Calibri"/>
        <charset val="1"/>
        <family val="0"/>
        <b val="1"/>
        <color rgb="FFB45309"/>
        <sz val="8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374151"/>
        <sz val="8"/>
      </font>
      <fill>
        <patternFill>
          <bgColor rgb="FFF9FAFB"/>
        </patternFill>
      </fill>
    </dxf>
    <dxf>
      <font>
        <name val="Calibri"/>
        <charset val="1"/>
        <family val="0"/>
        <b val="1"/>
        <color rgb="FFB91C1C"/>
        <sz val="8"/>
      </font>
      <fill>
        <patternFill>
          <bgColor rgb="FFFEF2F2"/>
        </patternFill>
      </fill>
    </dxf>
    <dxf>
      <font>
        <name val="Calibri"/>
        <charset val="1"/>
        <family val="0"/>
        <b val="1"/>
        <color rgb="FF6D28D9"/>
        <sz val="8"/>
      </font>
      <fill>
        <patternFill>
          <bgColor rgb="FFF5F3FF"/>
        </patternFill>
      </fill>
    </dxf>
    <dxf>
      <font>
        <name val="Calibri"/>
        <charset val="1"/>
        <family val="0"/>
        <b val="1"/>
        <color rgb="FFB91C1C"/>
        <sz val="8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92400E"/>
        <sz val="8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166534"/>
        <sz val="8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7ED"/>
      <rgbColor rgb="FFFF00FF"/>
      <rgbColor rgb="FF00FFFF"/>
      <rgbColor rgb="FF800000"/>
      <rgbColor rgb="FF166534"/>
      <rgbColor rgb="FF000080"/>
      <rgbColor rgb="FFB45309"/>
      <rgbColor rgb="FF6D28D9"/>
      <rgbColor rgb="FF008080"/>
      <rgbColor rgb="FFD0D7E0"/>
      <rgbColor rgb="FF808080"/>
      <rgbColor rgb="FFF7F8FA"/>
      <rgbColor rgb="FFB91C1C"/>
      <rgbColor rgb="FFFEF3C7"/>
      <rgbColor rgb="FFDCFCE7"/>
      <rgbColor rgb="FF660066"/>
      <rgbColor rgb="FFF8FAFC"/>
      <rgbColor rgb="FF1D4ED8"/>
      <rgbColor rgb="FFBDD7EE"/>
      <rgbColor rgb="FF000080"/>
      <rgbColor rgb="FFFF00FF"/>
      <rgbColor rgb="FFF3F4F6"/>
      <rgbColor rgb="FF00FFFF"/>
      <rgbColor rgb="FF800080"/>
      <rgbColor rgb="FF800000"/>
      <rgbColor rgb="FF008080"/>
      <rgbColor rgb="FF0000FF"/>
      <rgbColor rgb="FF00CCFF"/>
      <rgbColor rgb="FFF0FDF4"/>
      <rgbColor rgb="FFF1F5F9"/>
      <rgbColor rgb="FFFFFBEB"/>
      <rgbColor rgb="FFEFF6FF"/>
      <rgbColor rgb="FFFEF2F2"/>
      <rgbColor rgb="FFF5F3FF"/>
      <rgbColor rgb="FFFEE2E2"/>
      <rgbColor rgb="FF3366FF"/>
      <rgbColor rgb="FF33CCCC"/>
      <rgbColor rgb="FF99CC00"/>
      <rgbColor rgb="FFF9FAFB"/>
      <rgbColor rgb="FFF59E0B"/>
      <rgbColor rgb="FFEF4444"/>
      <rgbColor rgb="FF6B7280"/>
      <rgbColor rgb="FF9CA3AF"/>
      <rgbColor rgb="FF374151"/>
      <rgbColor rgb="FF22C55E"/>
      <rgbColor rgb="FF003300"/>
      <rgbColor rgb="FF1F2937"/>
      <rgbColor rgb="FF92400E"/>
      <rgbColor rgb="FFC2410C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erosol_Plant_Tracker_v8.xlsx" TargetMode="External"/><Relationship Id="rId2" Type="http://schemas.openxmlformats.org/officeDocument/2006/relationships/hyperlink" Target="Aerosol_Plant_Tracker_v8.xlsx" TargetMode="External"/><Relationship Id="rId3" Type="http://schemas.openxmlformats.org/officeDocument/2006/relationships/hyperlink" Target="Aerosol_Plant_Tracker_v8.xlsx" TargetMode="External"/><Relationship Id="rId4" Type="http://schemas.openxmlformats.org/officeDocument/2006/relationships/hyperlink" Target="Aerosol_Plant_Tracker_v8.xlsx" TargetMode="External"/><Relationship Id="rId5" Type="http://schemas.openxmlformats.org/officeDocument/2006/relationships/hyperlink" Target="Aerosol_Plant_Tracker_v8.xlsx" TargetMode="External"/><Relationship Id="rId6" Type="http://schemas.openxmlformats.org/officeDocument/2006/relationships/hyperlink" Target="Aerosol_Plant_Tracker_v8.xlsx" TargetMode="External"/><Relationship Id="rId7" Type="http://schemas.openxmlformats.org/officeDocument/2006/relationships/hyperlink" Target="Aerosol_Plant_Tracker_v8.xlsx" TargetMode="External"/><Relationship Id="rId8" Type="http://schemas.openxmlformats.org/officeDocument/2006/relationships/hyperlink" Target="Aerosol_Plant_Tracker_v8.xlsx" TargetMode="External"/><Relationship Id="rId9" Type="http://schemas.openxmlformats.org/officeDocument/2006/relationships/hyperlink" Target="Aerosol_Plant_Tracker_v8.xlsx" TargetMode="External"/><Relationship Id="rId10" Type="http://schemas.openxmlformats.org/officeDocument/2006/relationships/hyperlink" Target="Aerosol_Plant_Tracker_v8.xlsx" TargetMode="External"/><Relationship Id="rId11" Type="http://schemas.openxmlformats.org/officeDocument/2006/relationships/hyperlink" Target="Aerosol_Plant_Tracker_v8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erosol_Plant_Tracker_v8.xlsx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</cols>
  <sheetData>
    <row r="1" customFormat="false" ht="42" hidden="false" customHeight="true" outlineLevel="0" collapsed="false">
      <c r="B1" s="1" t="s">
        <v>0</v>
      </c>
      <c r="C1" s="1"/>
      <c r="D1" s="1"/>
      <c r="E1" s="1"/>
      <c r="F1" s="1"/>
    </row>
    <row r="2" customFormat="false" ht="13.5" hidden="false" customHeight="true" outlineLevel="0" collapsed="false">
      <c r="B2" s="2" t="s">
        <v>1</v>
      </c>
      <c r="C2" s="3" t="n">
        <f aca="true">TODAY()</f>
        <v>46163</v>
      </c>
    </row>
    <row r="3" customFormat="false" ht="13.5" hidden="false" customHeight="true" outlineLevel="0" collapsed="false"/>
    <row r="4" customFormat="false" ht="18" hidden="false" customHeight="true" outlineLevel="0" collapsed="false">
      <c r="B4" s="4" t="s">
        <v>2</v>
      </c>
      <c r="C4" s="5" t="s">
        <v>3</v>
      </c>
      <c r="D4" s="6" t="s">
        <v>4</v>
      </c>
      <c r="E4" s="7" t="s">
        <v>5</v>
      </c>
      <c r="F4" s="8" t="s">
        <v>6</v>
      </c>
    </row>
    <row r="5" customFormat="false" ht="51.75" hidden="false" customHeight="true" outlineLevel="0" collapsed="false">
      <c r="B5" s="9" t="n">
        <f aca="false">COUNTA(TRACKER!$A$3:$A$131)</f>
        <v>129</v>
      </c>
      <c r="C5" s="10" t="n">
        <f aca="false">COUNTIF(TRACKER!$G$3:$G$131,"Completed")</f>
        <v>44</v>
      </c>
      <c r="D5" s="11" t="n">
        <f aca="false">COUNTIF(TRACKER!$G$3:$G$131,"In Progress")</f>
        <v>37</v>
      </c>
      <c r="E5" s="12" t="n">
        <f aca="false">COUNTIF(TRACKER!$G$3:$G$131,"Not Started")</f>
        <v>40</v>
      </c>
      <c r="F5" s="13" t="n">
        <f aca="false">COUNTIF(TRACKER!$G$3:$G$131,"Blocked")</f>
        <v>4</v>
      </c>
    </row>
    <row r="6" customFormat="false" ht="13.5" hidden="false" customHeight="true" outlineLevel="0" collapsed="false"/>
    <row r="7" customFormat="false" ht="9.75" hidden="false" customHeight="true" outlineLevel="0" collapsed="false"/>
    <row r="8" customFormat="false" ht="21.75" hidden="false" customHeight="true" outlineLevel="0" collapsed="false">
      <c r="B8" s="14" t="s">
        <v>7</v>
      </c>
      <c r="C8" s="14"/>
      <c r="D8" s="14"/>
      <c r="E8" s="14"/>
      <c r="F8" s="14"/>
    </row>
    <row r="9" customFormat="false" ht="24" hidden="false" customHeight="true" outlineLevel="0" collapsed="false">
      <c r="B9" s="15" t="s">
        <v>8</v>
      </c>
      <c r="C9" s="16" t="s">
        <v>9</v>
      </c>
      <c r="D9" s="16" t="s">
        <v>10</v>
      </c>
      <c r="E9" s="16" t="s">
        <v>11</v>
      </c>
      <c r="F9" s="16" t="s">
        <v>12</v>
      </c>
    </row>
    <row r="10" customFormat="false" ht="21.75" hidden="false" customHeight="true" outlineLevel="0" collapsed="false">
      <c r="B10" s="17" t="s">
        <v>13</v>
      </c>
      <c r="C10" s="18" t="n">
        <f aca="false">COUNTIFS(TRACKER!$B$3:$B$131,"Press",TRACKER!$C$3:$C$131,"Electrical",TRACKER!$G$3:$G$131,"&lt;&gt;Completed")</f>
        <v>1</v>
      </c>
      <c r="D10" s="18" t="n">
        <f aca="false">COUNTIFS(TRACKER!$B$3:$B$131,"Press",TRACKER!$C$3:$C$131,"Mechanical",TRACKER!$G$3:$G$131,"&lt;&gt;Completed")</f>
        <v>14</v>
      </c>
      <c r="E10" s="18" t="n">
        <f aca="false">C10+D10</f>
        <v>15</v>
      </c>
      <c r="F10" s="18" t="n">
        <f aca="false">COUNTIFS(TRACKER!$B$3:$B$131,"Press",TRACKER!$G$3:$G$131,"Completed")</f>
        <v>14</v>
      </c>
    </row>
    <row r="11" customFormat="false" ht="21.75" hidden="false" customHeight="true" outlineLevel="0" collapsed="false">
      <c r="B11" s="19" t="s">
        <v>14</v>
      </c>
      <c r="C11" s="20" t="n">
        <f aca="false">COUNTIFS(TRACKER!$B$3:$B$131,"Trimming",TRACKER!$C$3:$C$131,"Electrical",TRACKER!$G$3:$G$131,"&lt;&gt;Completed")</f>
        <v>1</v>
      </c>
      <c r="D11" s="20" t="n">
        <f aca="false">COUNTIFS(TRACKER!$B$3:$B$131,"Trimming",TRACKER!$C$3:$C$131,"Mechanical",TRACKER!$G$3:$G$131,"&lt;&gt;Completed")</f>
        <v>2</v>
      </c>
      <c r="E11" s="20" t="n">
        <f aca="false">C11+D11</f>
        <v>3</v>
      </c>
      <c r="F11" s="20" t="n">
        <f aca="false">COUNTIFS(TRACKER!$B$3:$B$131,"Trimming",TRACKER!$G$3:$G$131,"Completed")</f>
        <v>6</v>
      </c>
    </row>
    <row r="12" customFormat="false" ht="21.75" hidden="false" customHeight="true" outlineLevel="0" collapsed="false">
      <c r="B12" s="17" t="s">
        <v>15</v>
      </c>
      <c r="C12" s="18" t="n">
        <f aca="false">COUNTIFS(TRACKER!$B$3:$B$131,"Washing",TRACKER!$C$3:$C$131,"Electrical",TRACKER!$G$3:$G$131,"&lt;&gt;Completed")</f>
        <v>3</v>
      </c>
      <c r="D12" s="18" t="n">
        <f aca="false">COUNTIFS(TRACKER!$B$3:$B$131,"Washing",TRACKER!$C$3:$C$131,"Mechanical",TRACKER!$G$3:$G$131,"&lt;&gt;Completed")</f>
        <v>13</v>
      </c>
      <c r="E12" s="18" t="n">
        <f aca="false">C12+D12</f>
        <v>16</v>
      </c>
      <c r="F12" s="18" t="n">
        <f aca="false">COUNTIFS(TRACKER!$B$3:$B$131,"Washing",TRACKER!$G$3:$G$131,"Completed")</f>
        <v>2</v>
      </c>
    </row>
    <row r="13" customFormat="false" ht="21.75" hidden="false" customHeight="true" outlineLevel="0" collapsed="false">
      <c r="B13" s="19" t="s">
        <v>16</v>
      </c>
      <c r="C13" s="20" t="n">
        <f aca="false">COUNTIFS(TRACKER!$B$3:$B$131,"Lacquer",TRACKER!$C$3:$C$131,"Electrical",TRACKER!$G$3:$G$131,"&lt;&gt;Completed")</f>
        <v>2</v>
      </c>
      <c r="D13" s="20" t="n">
        <f aca="false">COUNTIFS(TRACKER!$B$3:$B$131,"Lacquer",TRACKER!$C$3:$C$131,"Mechanical",TRACKER!$G$3:$G$131,"&lt;&gt;Completed")</f>
        <v>2</v>
      </c>
      <c r="E13" s="20" t="n">
        <f aca="false">C13+D13</f>
        <v>4</v>
      </c>
      <c r="F13" s="20" t="n">
        <f aca="false">COUNTIFS(TRACKER!$B$3:$B$131,"Lacquer",TRACKER!$G$3:$G$131,"Completed")</f>
        <v>7</v>
      </c>
    </row>
    <row r="14" customFormat="false" ht="21.75" hidden="false" customHeight="true" outlineLevel="0" collapsed="false">
      <c r="B14" s="17" t="s">
        <v>17</v>
      </c>
      <c r="C14" s="18" t="n">
        <f aca="false">COUNTIFS(TRACKER!$B$3:$B$131,"Base Coat",TRACKER!$C$3:$C$131,"Electrical",TRACKER!$G$3:$G$131,"&lt;&gt;Completed")</f>
        <v>0</v>
      </c>
      <c r="D14" s="18" t="n">
        <f aca="false">COUNTIFS(TRACKER!$B$3:$B$131,"Base Coat",TRACKER!$C$3:$C$131,"Mechanical",TRACKER!$G$3:$G$131,"&lt;&gt;Completed")</f>
        <v>1</v>
      </c>
      <c r="E14" s="18" t="n">
        <f aca="false">C14+D14</f>
        <v>1</v>
      </c>
      <c r="F14" s="18" t="n">
        <f aca="false">COUNTIFS(TRACKER!$B$3:$B$131,"Base Coat",TRACKER!$G$3:$G$131,"Completed")</f>
        <v>3</v>
      </c>
    </row>
    <row r="15" customFormat="false" ht="21.75" hidden="false" customHeight="true" outlineLevel="0" collapsed="false">
      <c r="B15" s="19" t="s">
        <v>18</v>
      </c>
      <c r="C15" s="20" t="n">
        <f aca="false">COUNTIFS(TRACKER!$B$3:$B$131,"Printing",TRACKER!$C$3:$C$131,"Electrical",TRACKER!$G$3:$G$131,"&lt;&gt;Completed")</f>
        <v>3</v>
      </c>
      <c r="D15" s="20" t="n">
        <f aca="false">COUNTIFS(TRACKER!$B$3:$B$131,"Printing",TRACKER!$C$3:$C$131,"Mechanical",TRACKER!$G$3:$G$131,"&lt;&gt;Completed")</f>
        <v>7</v>
      </c>
      <c r="E15" s="20" t="n">
        <f aca="false">C15+D15</f>
        <v>10</v>
      </c>
      <c r="F15" s="20" t="n">
        <f aca="false">COUNTIFS(TRACKER!$B$3:$B$131,"Printing",TRACKER!$G$3:$G$131,"Completed")</f>
        <v>2</v>
      </c>
    </row>
    <row r="16" customFormat="false" ht="21.75" hidden="false" customHeight="true" outlineLevel="0" collapsed="false">
      <c r="B16" s="17" t="s">
        <v>19</v>
      </c>
      <c r="C16" s="18" t="n">
        <f aca="false">COUNTIFS(TRACKER!$B$3:$B$131,"Over Varnish",TRACKER!$C$3:$C$131,"Electrical",TRACKER!$G$3:$G$131,"&lt;&gt;Completed")</f>
        <v>0</v>
      </c>
      <c r="D16" s="18" t="n">
        <f aca="false">COUNTIFS(TRACKER!$B$3:$B$131,"Over Varnish",TRACKER!$C$3:$C$131,"Mechanical",TRACKER!$G$3:$G$131,"&lt;&gt;Completed")</f>
        <v>1</v>
      </c>
      <c r="E16" s="18" t="n">
        <f aca="false">C16+D16</f>
        <v>1</v>
      </c>
      <c r="F16" s="18" t="n">
        <f aca="false">COUNTIFS(TRACKER!$B$3:$B$131,"Over Varnish",TRACKER!$G$3:$G$131,"Completed")</f>
        <v>4</v>
      </c>
    </row>
    <row r="17" customFormat="false" ht="21.75" hidden="false" customHeight="true" outlineLevel="0" collapsed="false">
      <c r="B17" s="19" t="s">
        <v>20</v>
      </c>
      <c r="C17" s="20" t="n">
        <f aca="false">COUNTIFS(TRACKER!$B$3:$B$131,"Main Oven",TRACKER!$C$3:$C$131,"Electrical",TRACKER!$G$3:$G$131,"&lt;&gt;Completed")</f>
        <v>0</v>
      </c>
      <c r="D17" s="20" t="n">
        <f aca="false">COUNTIFS(TRACKER!$B$3:$B$131,"Main Oven",TRACKER!$C$3:$C$131,"Mechanical",TRACKER!$G$3:$G$131,"&lt;&gt;Completed")</f>
        <v>0</v>
      </c>
      <c r="E17" s="20" t="n">
        <f aca="false">C17+D17</f>
        <v>0</v>
      </c>
      <c r="F17" s="20" t="n">
        <f aca="false">COUNTIFS(TRACKER!$B$3:$B$131,"Main Oven",TRACKER!$G$3:$G$131,"Completed")</f>
        <v>3</v>
      </c>
    </row>
    <row r="18" customFormat="false" ht="21.75" hidden="false" customHeight="true" outlineLevel="0" collapsed="false">
      <c r="B18" s="17" t="s">
        <v>21</v>
      </c>
      <c r="C18" s="18" t="n">
        <f aca="false">COUNTIFS(TRACKER!$B$3:$B$131,"Necking",TRACKER!$C$3:$C$131,"Electrical",TRACKER!$G$3:$G$131,"&lt;&gt;Completed")</f>
        <v>1</v>
      </c>
      <c r="D18" s="18" t="n">
        <f aca="false">COUNTIFS(TRACKER!$B$3:$B$131,"Necking",TRACKER!$C$3:$C$131,"Mechanical",TRACKER!$G$3:$G$131,"&lt;&gt;Completed")</f>
        <v>4</v>
      </c>
      <c r="E18" s="18" t="n">
        <f aca="false">C18+D18</f>
        <v>5</v>
      </c>
      <c r="F18" s="18" t="n">
        <f aca="false">COUNTIFS(TRACKER!$B$3:$B$131,"Necking",TRACKER!$G$3:$G$131,"Completed")</f>
        <v>1</v>
      </c>
    </row>
    <row r="19" customFormat="false" ht="21.75" hidden="false" customHeight="true" outlineLevel="0" collapsed="false">
      <c r="B19" s="19" t="s">
        <v>22</v>
      </c>
      <c r="C19" s="20" t="n">
        <f aca="false">COUNTIFS(TRACKER!$B$3:$B$131,"Mixer",TRACKER!$C$3:$C$131,"Electrical",TRACKER!$G$3:$G$131,"&lt;&gt;Completed")</f>
        <v>1</v>
      </c>
      <c r="D19" s="20" t="n">
        <f aca="false">COUNTIFS(TRACKER!$B$3:$B$131,"Mixer",TRACKER!$C$3:$C$131,"Mechanical",TRACKER!$G$3:$G$131,"&lt;&gt;Completed")</f>
        <v>0</v>
      </c>
      <c r="E19" s="20" t="n">
        <f aca="false">C19+D19</f>
        <v>1</v>
      </c>
      <c r="F19" s="20" t="n">
        <f aca="false">COUNTIFS(TRACKER!$B$3:$B$131,"Mixer",TRACKER!$G$3:$G$131,"Completed")</f>
        <v>1</v>
      </c>
    </row>
    <row r="20" customFormat="false" ht="21.75" hidden="false" customHeight="true" outlineLevel="0" collapsed="false">
      <c r="B20" s="17" t="s">
        <v>23</v>
      </c>
      <c r="C20" s="18" t="n">
        <f aca="false">COUNTIFS(TRACKER!$B$3:$B$131,"General",TRACKER!$C$3:$C$131,"Electrical",TRACKER!$G$3:$G$131,"&lt;&gt;Completed")</f>
        <v>10</v>
      </c>
      <c r="D20" s="18" t="n">
        <f aca="false">COUNTIFS(TRACKER!$B$3:$B$131,"General",TRACKER!$C$3:$C$131,"Mechanical",TRACKER!$G$3:$G$131,"&lt;&gt;Completed")</f>
        <v>19</v>
      </c>
      <c r="E20" s="18" t="n">
        <f aca="false">C20+D20</f>
        <v>29</v>
      </c>
      <c r="F20" s="18" t="n">
        <f aca="false">COUNTIFS(TRACKER!$B$3:$B$131,"General",TRACKER!$G$3:$G$131,"Completed")</f>
        <v>1</v>
      </c>
    </row>
    <row r="22" customFormat="false" ht="9.75" hidden="false" customHeight="true" outlineLevel="0" collapsed="false"/>
    <row r="23" customFormat="false" ht="21.75" hidden="false" customHeight="true" outlineLevel="0" collapsed="false">
      <c r="B23" s="14" t="s">
        <v>24</v>
      </c>
      <c r="C23" s="14"/>
      <c r="D23" s="14"/>
      <c r="E23" s="14"/>
      <c r="F23" s="14"/>
    </row>
    <row r="24" customFormat="false" ht="30" hidden="false" customHeight="true" outlineLevel="0" collapsed="false">
      <c r="B24" s="21" t="s">
        <v>25</v>
      </c>
      <c r="C24" s="21"/>
      <c r="D24" s="21"/>
      <c r="E24" s="22" t="n">
        <f aca="false">COUNTIFS(TRACKER!$E$3:$E$131,"High",TRACKER!$G$3:$G$131,"&lt;&gt;Completed")</f>
        <v>49</v>
      </c>
      <c r="F24" s="22"/>
    </row>
    <row r="25" customFormat="false" ht="30" hidden="false" customHeight="true" outlineLevel="0" collapsed="false">
      <c r="B25" s="23" t="s">
        <v>26</v>
      </c>
      <c r="C25" s="23"/>
      <c r="D25" s="23"/>
      <c r="E25" s="24" t="n">
        <f aca="false">COUNTIFS(TRACKER!$E$3:$E$131,"Medium",TRACKER!$G$3:$G$131,"&lt;&gt;Completed")</f>
        <v>26</v>
      </c>
      <c r="F25" s="24"/>
    </row>
    <row r="26" customFormat="false" ht="30" hidden="false" customHeight="true" outlineLevel="0" collapsed="false">
      <c r="B26" s="25" t="s">
        <v>27</v>
      </c>
      <c r="C26" s="25"/>
      <c r="D26" s="25"/>
      <c r="E26" s="26" t="n">
        <f aca="false">COUNTIFS(TRACKER!$E$3:$E$131,"Low",TRACKER!$G$3:$G$131,"&lt;&gt;Completed")</f>
        <v>10</v>
      </c>
      <c r="F26" s="26"/>
    </row>
    <row r="29" customFormat="false" ht="19.5" hidden="false" customHeight="true" outlineLevel="0" collapsed="false">
      <c r="B29" s="27" t="s">
        <v>28</v>
      </c>
      <c r="C29" s="27"/>
      <c r="D29" s="27"/>
      <c r="E29" s="27"/>
      <c r="F29" s="27"/>
    </row>
    <row r="30" customFormat="false" ht="19.5" hidden="false" customHeight="true" outlineLevel="0" collapsed="false">
      <c r="B30" s="28" t="s">
        <v>4</v>
      </c>
      <c r="C30" s="29" t="s">
        <v>5</v>
      </c>
      <c r="D30" s="30" t="s">
        <v>6</v>
      </c>
      <c r="E30" s="31" t="s">
        <v>3</v>
      </c>
      <c r="F30" s="32" t="s">
        <v>29</v>
      </c>
    </row>
  </sheetData>
  <mergeCells count="10">
    <mergeCell ref="B1:F1"/>
    <mergeCell ref="B8:F8"/>
    <mergeCell ref="B23:F23"/>
    <mergeCell ref="B24:D24"/>
    <mergeCell ref="E24:F24"/>
    <mergeCell ref="B25:D25"/>
    <mergeCell ref="E25:F25"/>
    <mergeCell ref="B26:D26"/>
    <mergeCell ref="E26:F26"/>
    <mergeCell ref="B29:F29"/>
  </mergeCells>
  <hyperlinks>
    <hyperlink ref="B10" r:id="rId1" location="TRACKER!A3" display="Press"/>
    <hyperlink ref="B11" r:id="rId2" location="TRACKER!A32" display="Trimming"/>
    <hyperlink ref="B12" r:id="rId3" location="TRACKER!A41" display="Washing"/>
    <hyperlink ref="B13" r:id="rId4" location="TRACKER!A59" display="Lacquer"/>
    <hyperlink ref="B14" r:id="rId5" location="TRACKER!A70" display="Base Coat"/>
    <hyperlink ref="B15" r:id="rId6" location="TRACKER!A74" display="Printing"/>
    <hyperlink ref="B16" r:id="rId7" location="TRACKER!A86" display="Over Varnish"/>
    <hyperlink ref="B17" r:id="rId8" location="TRACKER!A91" display="Main Oven"/>
    <hyperlink ref="B18" r:id="rId9" location="TRACKER!A94" display="Necking"/>
    <hyperlink ref="B19" r:id="rId10" location="TRACKER!A100" display="Mixer"/>
    <hyperlink ref="B20" r:id="rId11" location="TRACKER!A102" display="Gene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4"/>
    <col collapsed="false" customWidth="true" hidden="false" outlineLevel="0" max="6" min="5" style="0" width="11"/>
    <col collapsed="false" customWidth="true" hidden="false" outlineLevel="0" max="7" min="7" style="0" width="20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36" hidden="false" customHeight="true" outlineLevel="0" collapsed="false">
      <c r="A1" s="33" t="s">
        <v>30</v>
      </c>
      <c r="B1" s="33"/>
      <c r="C1" s="33"/>
      <c r="D1" s="33"/>
      <c r="E1" s="33"/>
      <c r="F1" s="33"/>
      <c r="G1" s="33"/>
      <c r="H1" s="33"/>
      <c r="I1" s="34" t="s">
        <v>31</v>
      </c>
    </row>
    <row r="2" customFormat="false" ht="27.75" hidden="false" customHeight="true" outlineLevel="0" collapsed="false">
      <c r="A2" s="35" t="s">
        <v>32</v>
      </c>
      <c r="B2" s="35" t="s">
        <v>33</v>
      </c>
      <c r="C2" s="35" t="s">
        <v>34</v>
      </c>
      <c r="D2" s="36" t="s">
        <v>35</v>
      </c>
      <c r="E2" s="35" t="s">
        <v>36</v>
      </c>
      <c r="F2" s="35" t="s">
        <v>37</v>
      </c>
      <c r="G2" s="35" t="s">
        <v>38</v>
      </c>
      <c r="H2" s="35" t="s">
        <v>39</v>
      </c>
      <c r="I2" s="35" t="s">
        <v>40</v>
      </c>
    </row>
    <row r="3" customFormat="false" ht="21.75" hidden="false" customHeight="true" outlineLevel="0" collapsed="false">
      <c r="A3" s="37" t="n">
        <v>1</v>
      </c>
      <c r="B3" s="38" t="s">
        <v>13</v>
      </c>
      <c r="C3" s="39" t="s">
        <v>41</v>
      </c>
      <c r="D3" s="40" t="s">
        <v>42</v>
      </c>
      <c r="E3" s="41" t="s">
        <v>43</v>
      </c>
      <c r="F3" s="42" t="n">
        <v>0.1</v>
      </c>
      <c r="G3" s="43" t="s">
        <v>4</v>
      </c>
      <c r="H3" s="44"/>
      <c r="I3" s="45"/>
    </row>
    <row r="4" customFormat="false" ht="21.75" hidden="false" customHeight="true" outlineLevel="0" collapsed="false">
      <c r="A4" s="46" t="n">
        <v>2</v>
      </c>
      <c r="B4" s="47" t="s">
        <v>13</v>
      </c>
      <c r="C4" s="48" t="s">
        <v>41</v>
      </c>
      <c r="D4" s="49" t="s">
        <v>44</v>
      </c>
      <c r="E4" s="48" t="s">
        <v>45</v>
      </c>
      <c r="F4" s="50" t="n">
        <v>1</v>
      </c>
      <c r="G4" s="48" t="s">
        <v>3</v>
      </c>
      <c r="H4" s="51"/>
      <c r="I4" s="52"/>
    </row>
    <row r="5" customFormat="false" ht="21.75" hidden="false" customHeight="true" outlineLevel="0" collapsed="false">
      <c r="A5" s="53" t="n">
        <v>3</v>
      </c>
      <c r="B5" s="27" t="s">
        <v>13</v>
      </c>
      <c r="C5" s="48" t="s">
        <v>41</v>
      </c>
      <c r="D5" s="54" t="s">
        <v>46</v>
      </c>
      <c r="E5" s="48" t="s">
        <v>45</v>
      </c>
      <c r="F5" s="55" t="n">
        <v>1</v>
      </c>
      <c r="G5" s="48" t="s">
        <v>3</v>
      </c>
      <c r="H5" s="56"/>
      <c r="I5" s="57"/>
    </row>
    <row r="6" customFormat="false" ht="21.75" hidden="false" customHeight="true" outlineLevel="0" collapsed="false">
      <c r="A6" s="46" t="n">
        <v>4</v>
      </c>
      <c r="B6" s="47" t="s">
        <v>13</v>
      </c>
      <c r="C6" s="48" t="s">
        <v>41</v>
      </c>
      <c r="D6" s="49" t="s">
        <v>47</v>
      </c>
      <c r="E6" s="48" t="s">
        <v>45</v>
      </c>
      <c r="F6" s="50" t="n">
        <v>1</v>
      </c>
      <c r="G6" s="48" t="s">
        <v>3</v>
      </c>
      <c r="H6" s="51"/>
      <c r="I6" s="52"/>
    </row>
    <row r="7" customFormat="false" ht="21.75" hidden="false" customHeight="true" outlineLevel="0" collapsed="false">
      <c r="A7" s="53" t="n">
        <v>5</v>
      </c>
      <c r="B7" s="27" t="s">
        <v>13</v>
      </c>
      <c r="C7" s="48" t="s">
        <v>41</v>
      </c>
      <c r="D7" s="54" t="s">
        <v>48</v>
      </c>
      <c r="E7" s="48" t="s">
        <v>45</v>
      </c>
      <c r="F7" s="55" t="n">
        <v>1</v>
      </c>
      <c r="G7" s="48" t="s">
        <v>3</v>
      </c>
      <c r="H7" s="56"/>
      <c r="I7" s="57"/>
    </row>
    <row r="8" customFormat="false" ht="21.75" hidden="false" customHeight="true" outlineLevel="0" collapsed="false">
      <c r="A8" s="46" t="n">
        <v>6</v>
      </c>
      <c r="B8" s="58" t="s">
        <v>13</v>
      </c>
      <c r="C8" s="59" t="s">
        <v>49</v>
      </c>
      <c r="D8" s="60" t="s">
        <v>50</v>
      </c>
      <c r="E8" s="61" t="s">
        <v>43</v>
      </c>
      <c r="F8" s="62" t="n">
        <v>0.5</v>
      </c>
      <c r="G8" s="63" t="s">
        <v>4</v>
      </c>
      <c r="H8" s="64"/>
      <c r="I8" s="52"/>
    </row>
    <row r="9" customFormat="false" ht="21.75" hidden="false" customHeight="true" outlineLevel="0" collapsed="false">
      <c r="A9" s="53" t="n">
        <v>7</v>
      </c>
      <c r="B9" s="65" t="s">
        <v>13</v>
      </c>
      <c r="C9" s="59" t="s">
        <v>49</v>
      </c>
      <c r="D9" s="66" t="s">
        <v>51</v>
      </c>
      <c r="E9" s="61" t="s">
        <v>43</v>
      </c>
      <c r="F9" s="67" t="n">
        <v>0.4</v>
      </c>
      <c r="G9" s="63" t="s">
        <v>4</v>
      </c>
      <c r="H9" s="68" t="s">
        <v>52</v>
      </c>
      <c r="I9" s="57"/>
    </row>
    <row r="10" customFormat="false" ht="21.75" hidden="false" customHeight="true" outlineLevel="0" collapsed="false">
      <c r="A10" s="46" t="n">
        <v>8</v>
      </c>
      <c r="B10" s="58" t="s">
        <v>13</v>
      </c>
      <c r="C10" s="59" t="s">
        <v>49</v>
      </c>
      <c r="D10" s="60" t="s">
        <v>53</v>
      </c>
      <c r="E10" s="69" t="s">
        <v>54</v>
      </c>
      <c r="F10" s="62" t="n">
        <v>0.4</v>
      </c>
      <c r="G10" s="63" t="s">
        <v>4</v>
      </c>
      <c r="H10" s="64"/>
      <c r="I10" s="52"/>
    </row>
    <row r="11" customFormat="false" ht="21.75" hidden="false" customHeight="true" outlineLevel="0" collapsed="false">
      <c r="A11" s="53" t="n">
        <v>9</v>
      </c>
      <c r="B11" s="65" t="s">
        <v>13</v>
      </c>
      <c r="C11" s="59" t="s">
        <v>49</v>
      </c>
      <c r="D11" s="66" t="s">
        <v>55</v>
      </c>
      <c r="E11" s="61" t="s">
        <v>43</v>
      </c>
      <c r="F11" s="67" t="n">
        <v>0.3</v>
      </c>
      <c r="G11" s="63" t="s">
        <v>4</v>
      </c>
      <c r="H11" s="68" t="s">
        <v>56</v>
      </c>
      <c r="I11" s="57"/>
    </row>
    <row r="12" customFormat="false" ht="21.75" hidden="false" customHeight="true" outlineLevel="0" collapsed="false">
      <c r="A12" s="46" t="n">
        <v>10</v>
      </c>
      <c r="B12" s="58" t="s">
        <v>13</v>
      </c>
      <c r="C12" s="59" t="s">
        <v>49</v>
      </c>
      <c r="D12" s="60" t="s">
        <v>57</v>
      </c>
      <c r="E12" s="61" t="s">
        <v>43</v>
      </c>
      <c r="F12" s="62" t="n">
        <v>0.2</v>
      </c>
      <c r="G12" s="63" t="s">
        <v>4</v>
      </c>
      <c r="H12" s="64" t="s">
        <v>58</v>
      </c>
      <c r="I12" s="52"/>
    </row>
    <row r="13" customFormat="false" ht="21.75" hidden="false" customHeight="true" outlineLevel="0" collapsed="false">
      <c r="A13" s="53" t="n">
        <v>11</v>
      </c>
      <c r="B13" s="65" t="s">
        <v>13</v>
      </c>
      <c r="C13" s="59" t="s">
        <v>49</v>
      </c>
      <c r="D13" s="66" t="s">
        <v>59</v>
      </c>
      <c r="E13" s="69" t="s">
        <v>54</v>
      </c>
      <c r="F13" s="67" t="n">
        <v>0</v>
      </c>
      <c r="G13" s="70" t="s">
        <v>5</v>
      </c>
      <c r="H13" s="68"/>
      <c r="I13" s="57"/>
    </row>
    <row r="14" customFormat="false" ht="21.75" hidden="false" customHeight="true" outlineLevel="0" collapsed="false">
      <c r="A14" s="46" t="n">
        <v>12</v>
      </c>
      <c r="B14" s="58" t="s">
        <v>13</v>
      </c>
      <c r="C14" s="59" t="s">
        <v>49</v>
      </c>
      <c r="D14" s="60" t="s">
        <v>60</v>
      </c>
      <c r="E14" s="69" t="s">
        <v>54</v>
      </c>
      <c r="F14" s="62" t="n">
        <v>0</v>
      </c>
      <c r="G14" s="70" t="s">
        <v>5</v>
      </c>
      <c r="H14" s="64" t="s">
        <v>61</v>
      </c>
      <c r="I14" s="52"/>
    </row>
    <row r="15" customFormat="false" ht="21.75" hidden="false" customHeight="true" outlineLevel="0" collapsed="false">
      <c r="A15" s="53" t="n">
        <v>13</v>
      </c>
      <c r="B15" s="65" t="s">
        <v>13</v>
      </c>
      <c r="C15" s="59" t="s">
        <v>49</v>
      </c>
      <c r="D15" s="66" t="s">
        <v>62</v>
      </c>
      <c r="E15" s="69" t="s">
        <v>54</v>
      </c>
      <c r="F15" s="67" t="n">
        <v>0</v>
      </c>
      <c r="G15" s="70" t="s">
        <v>5</v>
      </c>
      <c r="H15" s="68"/>
      <c r="I15" s="57"/>
    </row>
    <row r="16" customFormat="false" ht="21.75" hidden="false" customHeight="true" outlineLevel="0" collapsed="false">
      <c r="A16" s="46" t="n">
        <v>14</v>
      </c>
      <c r="B16" s="58" t="s">
        <v>13</v>
      </c>
      <c r="C16" s="59" t="s">
        <v>49</v>
      </c>
      <c r="D16" s="60" t="s">
        <v>63</v>
      </c>
      <c r="E16" s="69" t="s">
        <v>54</v>
      </c>
      <c r="F16" s="62" t="n">
        <v>0</v>
      </c>
      <c r="G16" s="70" t="s">
        <v>5</v>
      </c>
      <c r="H16" s="64"/>
      <c r="I16" s="52"/>
    </row>
    <row r="17" customFormat="false" ht="21.75" hidden="false" customHeight="true" outlineLevel="0" collapsed="false">
      <c r="A17" s="53" t="n">
        <v>15</v>
      </c>
      <c r="B17" s="65" t="s">
        <v>13</v>
      </c>
      <c r="C17" s="59" t="s">
        <v>49</v>
      </c>
      <c r="D17" s="66" t="s">
        <v>64</v>
      </c>
      <c r="E17" s="71" t="s">
        <v>65</v>
      </c>
      <c r="F17" s="67" t="n">
        <v>0</v>
      </c>
      <c r="G17" s="70" t="s">
        <v>5</v>
      </c>
      <c r="H17" s="68"/>
      <c r="I17" s="57"/>
    </row>
    <row r="18" customFormat="false" ht="21.75" hidden="false" customHeight="true" outlineLevel="0" collapsed="false">
      <c r="A18" s="46" t="n">
        <v>16</v>
      </c>
      <c r="B18" s="58" t="s">
        <v>13</v>
      </c>
      <c r="C18" s="59" t="s">
        <v>49</v>
      </c>
      <c r="D18" s="60" t="s">
        <v>66</v>
      </c>
      <c r="E18" s="71" t="s">
        <v>65</v>
      </c>
      <c r="F18" s="62" t="n">
        <v>0</v>
      </c>
      <c r="G18" s="70" t="s">
        <v>5</v>
      </c>
      <c r="H18" s="64"/>
      <c r="I18" s="52"/>
    </row>
    <row r="19" customFormat="false" ht="21.75" hidden="false" customHeight="true" outlineLevel="0" collapsed="false">
      <c r="A19" s="53" t="n">
        <v>17</v>
      </c>
      <c r="B19" s="65" t="s">
        <v>13</v>
      </c>
      <c r="C19" s="59" t="s">
        <v>49</v>
      </c>
      <c r="D19" s="66" t="s">
        <v>67</v>
      </c>
      <c r="E19" s="71" t="s">
        <v>65</v>
      </c>
      <c r="F19" s="67" t="n">
        <v>0</v>
      </c>
      <c r="G19" s="70" t="s">
        <v>5</v>
      </c>
      <c r="H19" s="68" t="s">
        <v>68</v>
      </c>
      <c r="I19" s="57"/>
    </row>
    <row r="20" customFormat="false" ht="21.75" hidden="false" customHeight="true" outlineLevel="0" collapsed="false">
      <c r="A20" s="46" t="n">
        <v>18</v>
      </c>
      <c r="B20" s="58" t="s">
        <v>13</v>
      </c>
      <c r="C20" s="59" t="s">
        <v>49</v>
      </c>
      <c r="D20" s="60" t="s">
        <v>69</v>
      </c>
      <c r="E20" s="71" t="s">
        <v>65</v>
      </c>
      <c r="F20" s="62" t="n">
        <v>0</v>
      </c>
      <c r="G20" s="70" t="s">
        <v>5</v>
      </c>
      <c r="H20" s="64" t="s">
        <v>68</v>
      </c>
      <c r="I20" s="52"/>
    </row>
    <row r="21" customFormat="false" ht="21.75" hidden="false" customHeight="true" outlineLevel="0" collapsed="false">
      <c r="A21" s="53" t="n">
        <v>19</v>
      </c>
      <c r="B21" s="65" t="s">
        <v>13</v>
      </c>
      <c r="C21" s="59" t="s">
        <v>49</v>
      </c>
      <c r="D21" s="66" t="s">
        <v>70</v>
      </c>
      <c r="E21" s="61" t="s">
        <v>43</v>
      </c>
      <c r="F21" s="67" t="n">
        <v>0</v>
      </c>
      <c r="G21" s="70" t="s">
        <v>5</v>
      </c>
      <c r="H21" s="68" t="s">
        <v>71</v>
      </c>
      <c r="I21" s="57"/>
    </row>
    <row r="22" customFormat="false" ht="21.75" hidden="false" customHeight="true" outlineLevel="0" collapsed="false">
      <c r="A22" s="46" t="n">
        <v>20</v>
      </c>
      <c r="B22" s="47" t="s">
        <v>13</v>
      </c>
      <c r="C22" s="48" t="s">
        <v>49</v>
      </c>
      <c r="D22" s="49" t="s">
        <v>72</v>
      </c>
      <c r="E22" s="48" t="s">
        <v>45</v>
      </c>
      <c r="F22" s="50" t="n">
        <v>1</v>
      </c>
      <c r="G22" s="48" t="s">
        <v>3</v>
      </c>
      <c r="H22" s="51"/>
      <c r="I22" s="52"/>
    </row>
    <row r="23" customFormat="false" ht="21.75" hidden="false" customHeight="true" outlineLevel="0" collapsed="false">
      <c r="A23" s="53" t="n">
        <v>21</v>
      </c>
      <c r="B23" s="27" t="s">
        <v>13</v>
      </c>
      <c r="C23" s="48" t="s">
        <v>49</v>
      </c>
      <c r="D23" s="54" t="s">
        <v>73</v>
      </c>
      <c r="E23" s="48" t="s">
        <v>45</v>
      </c>
      <c r="F23" s="55" t="n">
        <v>1</v>
      </c>
      <c r="G23" s="48" t="s">
        <v>3</v>
      </c>
      <c r="H23" s="56"/>
      <c r="I23" s="57"/>
    </row>
    <row r="24" customFormat="false" ht="21.75" hidden="false" customHeight="true" outlineLevel="0" collapsed="false">
      <c r="A24" s="46" t="n">
        <v>22</v>
      </c>
      <c r="B24" s="47" t="s">
        <v>13</v>
      </c>
      <c r="C24" s="48" t="s">
        <v>49</v>
      </c>
      <c r="D24" s="49" t="s">
        <v>74</v>
      </c>
      <c r="E24" s="48" t="s">
        <v>45</v>
      </c>
      <c r="F24" s="50" t="n">
        <v>1</v>
      </c>
      <c r="G24" s="48" t="s">
        <v>3</v>
      </c>
      <c r="H24" s="51"/>
      <c r="I24" s="52"/>
    </row>
    <row r="25" customFormat="false" ht="21.75" hidden="false" customHeight="true" outlineLevel="0" collapsed="false">
      <c r="A25" s="53" t="n">
        <v>23</v>
      </c>
      <c r="B25" s="27" t="s">
        <v>13</v>
      </c>
      <c r="C25" s="48" t="s">
        <v>49</v>
      </c>
      <c r="D25" s="54" t="s">
        <v>75</v>
      </c>
      <c r="E25" s="48" t="s">
        <v>45</v>
      </c>
      <c r="F25" s="55" t="n">
        <v>1</v>
      </c>
      <c r="G25" s="48" t="s">
        <v>3</v>
      </c>
      <c r="H25" s="56"/>
      <c r="I25" s="57"/>
    </row>
    <row r="26" customFormat="false" ht="21.75" hidden="false" customHeight="true" outlineLevel="0" collapsed="false">
      <c r="A26" s="46" t="n">
        <v>24</v>
      </c>
      <c r="B26" s="47" t="s">
        <v>13</v>
      </c>
      <c r="C26" s="48" t="s">
        <v>49</v>
      </c>
      <c r="D26" s="49" t="s">
        <v>76</v>
      </c>
      <c r="E26" s="48" t="s">
        <v>45</v>
      </c>
      <c r="F26" s="50" t="n">
        <v>1</v>
      </c>
      <c r="G26" s="48" t="s">
        <v>3</v>
      </c>
      <c r="H26" s="51"/>
      <c r="I26" s="52"/>
    </row>
    <row r="27" customFormat="false" ht="21.75" hidden="false" customHeight="true" outlineLevel="0" collapsed="false">
      <c r="A27" s="53" t="n">
        <v>25</v>
      </c>
      <c r="B27" s="27" t="s">
        <v>13</v>
      </c>
      <c r="C27" s="48" t="s">
        <v>49</v>
      </c>
      <c r="D27" s="54" t="s">
        <v>77</v>
      </c>
      <c r="E27" s="48" t="s">
        <v>45</v>
      </c>
      <c r="F27" s="55" t="n">
        <v>1</v>
      </c>
      <c r="G27" s="48" t="s">
        <v>3</v>
      </c>
      <c r="H27" s="56"/>
      <c r="I27" s="57"/>
    </row>
    <row r="28" customFormat="false" ht="21.75" hidden="false" customHeight="true" outlineLevel="0" collapsed="false">
      <c r="A28" s="46" t="n">
        <v>26</v>
      </c>
      <c r="B28" s="47" t="s">
        <v>13</v>
      </c>
      <c r="C28" s="48" t="s">
        <v>49</v>
      </c>
      <c r="D28" s="49" t="s">
        <v>78</v>
      </c>
      <c r="E28" s="48" t="s">
        <v>45</v>
      </c>
      <c r="F28" s="50" t="n">
        <v>1</v>
      </c>
      <c r="G28" s="48" t="s">
        <v>3</v>
      </c>
      <c r="H28" s="51"/>
      <c r="I28" s="52"/>
    </row>
    <row r="29" customFormat="false" ht="21.75" hidden="false" customHeight="true" outlineLevel="0" collapsed="false">
      <c r="A29" s="53" t="n">
        <v>27</v>
      </c>
      <c r="B29" s="27" t="s">
        <v>13</v>
      </c>
      <c r="C29" s="48" t="s">
        <v>49</v>
      </c>
      <c r="D29" s="54" t="s">
        <v>79</v>
      </c>
      <c r="E29" s="48" t="s">
        <v>45</v>
      </c>
      <c r="F29" s="55" t="n">
        <v>1</v>
      </c>
      <c r="G29" s="48" t="s">
        <v>3</v>
      </c>
      <c r="H29" s="56"/>
      <c r="I29" s="57"/>
    </row>
    <row r="30" customFormat="false" ht="21.75" hidden="false" customHeight="true" outlineLevel="0" collapsed="false">
      <c r="A30" s="46" t="n">
        <v>28</v>
      </c>
      <c r="B30" s="47" t="s">
        <v>13</v>
      </c>
      <c r="C30" s="48" t="s">
        <v>49</v>
      </c>
      <c r="D30" s="49" t="s">
        <v>80</v>
      </c>
      <c r="E30" s="48" t="s">
        <v>45</v>
      </c>
      <c r="F30" s="50" t="n">
        <v>1</v>
      </c>
      <c r="G30" s="48" t="s">
        <v>3</v>
      </c>
      <c r="H30" s="51"/>
      <c r="I30" s="52"/>
    </row>
    <row r="31" customFormat="false" ht="21.75" hidden="false" customHeight="true" outlineLevel="0" collapsed="false">
      <c r="A31" s="53" t="n">
        <v>29</v>
      </c>
      <c r="B31" s="27" t="s">
        <v>13</v>
      </c>
      <c r="C31" s="48" t="s">
        <v>49</v>
      </c>
      <c r="D31" s="54" t="s">
        <v>81</v>
      </c>
      <c r="E31" s="48" t="s">
        <v>45</v>
      </c>
      <c r="F31" s="55" t="n">
        <v>1</v>
      </c>
      <c r="G31" s="48" t="s">
        <v>3</v>
      </c>
      <c r="H31" s="56"/>
      <c r="I31" s="57"/>
    </row>
    <row r="32" customFormat="false" ht="21.75" hidden="false" customHeight="true" outlineLevel="0" collapsed="false">
      <c r="A32" s="46" t="n">
        <v>30</v>
      </c>
      <c r="B32" s="58" t="s">
        <v>14</v>
      </c>
      <c r="C32" s="72" t="s">
        <v>41</v>
      </c>
      <c r="D32" s="60" t="s">
        <v>82</v>
      </c>
      <c r="E32" s="61" t="s">
        <v>43</v>
      </c>
      <c r="F32" s="62" t="n">
        <v>0.9</v>
      </c>
      <c r="G32" s="63" t="s">
        <v>4</v>
      </c>
      <c r="H32" s="64" t="s">
        <v>83</v>
      </c>
      <c r="I32" s="52"/>
    </row>
    <row r="33" customFormat="false" ht="21.75" hidden="false" customHeight="true" outlineLevel="0" collapsed="false">
      <c r="A33" s="53" t="n">
        <v>31</v>
      </c>
      <c r="B33" s="27" t="s">
        <v>14</v>
      </c>
      <c r="C33" s="48" t="s">
        <v>41</v>
      </c>
      <c r="D33" s="54" t="s">
        <v>84</v>
      </c>
      <c r="E33" s="48" t="s">
        <v>45</v>
      </c>
      <c r="F33" s="55" t="n">
        <v>1</v>
      </c>
      <c r="G33" s="48" t="s">
        <v>3</v>
      </c>
      <c r="H33" s="56"/>
      <c r="I33" s="57"/>
    </row>
    <row r="34" customFormat="false" ht="21.75" hidden="false" customHeight="true" outlineLevel="0" collapsed="false">
      <c r="A34" s="46" t="n">
        <v>32</v>
      </c>
      <c r="B34" s="47" t="s">
        <v>14</v>
      </c>
      <c r="C34" s="48" t="s">
        <v>41</v>
      </c>
      <c r="D34" s="49" t="s">
        <v>85</v>
      </c>
      <c r="E34" s="48" t="s">
        <v>45</v>
      </c>
      <c r="F34" s="50" t="n">
        <v>1</v>
      </c>
      <c r="G34" s="48" t="s">
        <v>3</v>
      </c>
      <c r="H34" s="51"/>
      <c r="I34" s="52"/>
    </row>
    <row r="35" customFormat="false" ht="21.75" hidden="false" customHeight="true" outlineLevel="0" collapsed="false">
      <c r="A35" s="53" t="n">
        <v>33</v>
      </c>
      <c r="B35" s="27" t="s">
        <v>14</v>
      </c>
      <c r="C35" s="48" t="s">
        <v>41</v>
      </c>
      <c r="D35" s="54" t="s">
        <v>86</v>
      </c>
      <c r="E35" s="48" t="s">
        <v>45</v>
      </c>
      <c r="F35" s="55" t="n">
        <v>1</v>
      </c>
      <c r="G35" s="48" t="s">
        <v>3</v>
      </c>
      <c r="H35" s="56"/>
      <c r="I35" s="57"/>
    </row>
    <row r="36" customFormat="false" ht="21.75" hidden="false" customHeight="true" outlineLevel="0" collapsed="false">
      <c r="A36" s="46" t="n">
        <v>34</v>
      </c>
      <c r="B36" s="58" t="s">
        <v>14</v>
      </c>
      <c r="C36" s="59" t="s">
        <v>49</v>
      </c>
      <c r="D36" s="60" t="s">
        <v>87</v>
      </c>
      <c r="E36" s="61" t="s">
        <v>43</v>
      </c>
      <c r="F36" s="62" t="n">
        <v>0.8</v>
      </c>
      <c r="G36" s="63" t="s">
        <v>4</v>
      </c>
      <c r="H36" s="64" t="s">
        <v>88</v>
      </c>
      <c r="I36" s="52"/>
    </row>
    <row r="37" customFormat="false" ht="21.75" hidden="false" customHeight="true" outlineLevel="0" collapsed="false">
      <c r="A37" s="53" t="n">
        <v>35</v>
      </c>
      <c r="B37" s="65" t="s">
        <v>14</v>
      </c>
      <c r="C37" s="59" t="s">
        <v>49</v>
      </c>
      <c r="D37" s="66" t="s">
        <v>89</v>
      </c>
      <c r="E37" s="61" t="s">
        <v>43</v>
      </c>
      <c r="F37" s="67" t="n">
        <v>0</v>
      </c>
      <c r="G37" s="73" t="s">
        <v>6</v>
      </c>
      <c r="H37" s="68" t="s">
        <v>90</v>
      </c>
      <c r="I37" s="57"/>
    </row>
    <row r="38" customFormat="false" ht="21.75" hidden="false" customHeight="true" outlineLevel="0" collapsed="false">
      <c r="A38" s="46" t="n">
        <v>36</v>
      </c>
      <c r="B38" s="47" t="s">
        <v>14</v>
      </c>
      <c r="C38" s="48" t="s">
        <v>49</v>
      </c>
      <c r="D38" s="49" t="s">
        <v>91</v>
      </c>
      <c r="E38" s="48" t="s">
        <v>45</v>
      </c>
      <c r="F38" s="50" t="n">
        <v>1</v>
      </c>
      <c r="G38" s="48" t="s">
        <v>3</v>
      </c>
      <c r="H38" s="51"/>
      <c r="I38" s="52"/>
    </row>
    <row r="39" customFormat="false" ht="21.75" hidden="false" customHeight="true" outlineLevel="0" collapsed="false">
      <c r="A39" s="53" t="n">
        <v>37</v>
      </c>
      <c r="B39" s="27" t="s">
        <v>14</v>
      </c>
      <c r="C39" s="48" t="s">
        <v>49</v>
      </c>
      <c r="D39" s="54" t="s">
        <v>92</v>
      </c>
      <c r="E39" s="48" t="s">
        <v>45</v>
      </c>
      <c r="F39" s="55" t="n">
        <v>1</v>
      </c>
      <c r="G39" s="48" t="s">
        <v>3</v>
      </c>
      <c r="H39" s="56"/>
      <c r="I39" s="57"/>
    </row>
    <row r="40" customFormat="false" ht="21.75" hidden="false" customHeight="true" outlineLevel="0" collapsed="false">
      <c r="A40" s="46" t="n">
        <v>38</v>
      </c>
      <c r="B40" s="47" t="s">
        <v>14</v>
      </c>
      <c r="C40" s="48" t="s">
        <v>49</v>
      </c>
      <c r="D40" s="49" t="s">
        <v>93</v>
      </c>
      <c r="E40" s="48" t="s">
        <v>45</v>
      </c>
      <c r="F40" s="50" t="n">
        <v>1</v>
      </c>
      <c r="G40" s="48" t="s">
        <v>3</v>
      </c>
      <c r="H40" s="51"/>
      <c r="I40" s="52"/>
    </row>
    <row r="41" customFormat="false" ht="21.75" hidden="false" customHeight="true" outlineLevel="0" collapsed="false">
      <c r="A41" s="53" t="n">
        <v>39</v>
      </c>
      <c r="B41" s="65" t="s">
        <v>15</v>
      </c>
      <c r="C41" s="72" t="s">
        <v>41</v>
      </c>
      <c r="D41" s="66" t="s">
        <v>94</v>
      </c>
      <c r="E41" s="61" t="s">
        <v>43</v>
      </c>
      <c r="F41" s="67" t="n">
        <v>0.3</v>
      </c>
      <c r="G41" s="63" t="s">
        <v>4</v>
      </c>
      <c r="H41" s="68" t="s">
        <v>95</v>
      </c>
      <c r="I41" s="57"/>
    </row>
    <row r="42" customFormat="false" ht="21.75" hidden="false" customHeight="true" outlineLevel="0" collapsed="false">
      <c r="A42" s="46" t="n">
        <v>40</v>
      </c>
      <c r="B42" s="58" t="s">
        <v>15</v>
      </c>
      <c r="C42" s="72" t="s">
        <v>41</v>
      </c>
      <c r="D42" s="60" t="s">
        <v>96</v>
      </c>
      <c r="E42" s="61" t="s">
        <v>43</v>
      </c>
      <c r="F42" s="62" t="n">
        <v>0</v>
      </c>
      <c r="G42" s="63" t="s">
        <v>4</v>
      </c>
      <c r="H42" s="64" t="s">
        <v>68</v>
      </c>
      <c r="I42" s="52"/>
    </row>
    <row r="43" customFormat="false" ht="21.75" hidden="false" customHeight="true" outlineLevel="0" collapsed="false">
      <c r="A43" s="53" t="n">
        <v>41</v>
      </c>
      <c r="B43" s="65" t="s">
        <v>15</v>
      </c>
      <c r="C43" s="72" t="s">
        <v>41</v>
      </c>
      <c r="D43" s="66" t="s">
        <v>97</v>
      </c>
      <c r="E43" s="61" t="s">
        <v>43</v>
      </c>
      <c r="F43" s="67" t="n">
        <v>0</v>
      </c>
      <c r="G43" s="63" t="s">
        <v>4</v>
      </c>
      <c r="H43" s="68" t="s">
        <v>98</v>
      </c>
      <c r="I43" s="57"/>
    </row>
    <row r="44" customFormat="false" ht="21.75" hidden="false" customHeight="true" outlineLevel="0" collapsed="false">
      <c r="A44" s="46" t="n">
        <v>42</v>
      </c>
      <c r="B44" s="58" t="s">
        <v>15</v>
      </c>
      <c r="C44" s="59" t="s">
        <v>49</v>
      </c>
      <c r="D44" s="60" t="s">
        <v>99</v>
      </c>
      <c r="E44" s="61" t="s">
        <v>43</v>
      </c>
      <c r="F44" s="62" t="n">
        <v>0</v>
      </c>
      <c r="G44" s="63" t="s">
        <v>4</v>
      </c>
      <c r="H44" s="64" t="s">
        <v>100</v>
      </c>
      <c r="I44" s="52"/>
    </row>
    <row r="45" customFormat="false" ht="21.75" hidden="false" customHeight="true" outlineLevel="0" collapsed="false">
      <c r="A45" s="53" t="n">
        <v>43</v>
      </c>
      <c r="B45" s="65" t="s">
        <v>15</v>
      </c>
      <c r="C45" s="59" t="s">
        <v>49</v>
      </c>
      <c r="D45" s="66" t="s">
        <v>101</v>
      </c>
      <c r="E45" s="61" t="s">
        <v>43</v>
      </c>
      <c r="F45" s="67" t="n">
        <v>0</v>
      </c>
      <c r="G45" s="63" t="s">
        <v>4</v>
      </c>
      <c r="H45" s="68" t="s">
        <v>102</v>
      </c>
      <c r="I45" s="57"/>
    </row>
    <row r="46" customFormat="false" ht="21.75" hidden="false" customHeight="true" outlineLevel="0" collapsed="false">
      <c r="A46" s="46" t="n">
        <v>44</v>
      </c>
      <c r="B46" s="58" t="s">
        <v>15</v>
      </c>
      <c r="C46" s="59" t="s">
        <v>49</v>
      </c>
      <c r="D46" s="60" t="s">
        <v>103</v>
      </c>
      <c r="E46" s="61" t="s">
        <v>43</v>
      </c>
      <c r="F46" s="62" t="n">
        <v>0.5</v>
      </c>
      <c r="G46" s="63" t="s">
        <v>4</v>
      </c>
      <c r="H46" s="64"/>
      <c r="I46" s="52"/>
    </row>
    <row r="47" customFormat="false" ht="21.75" hidden="false" customHeight="true" outlineLevel="0" collapsed="false">
      <c r="A47" s="53" t="n">
        <v>45</v>
      </c>
      <c r="B47" s="65" t="s">
        <v>15</v>
      </c>
      <c r="C47" s="59" t="s">
        <v>49</v>
      </c>
      <c r="D47" s="66" t="s">
        <v>104</v>
      </c>
      <c r="E47" s="61" t="s">
        <v>43</v>
      </c>
      <c r="F47" s="67" t="n">
        <v>0.5</v>
      </c>
      <c r="G47" s="63" t="s">
        <v>4</v>
      </c>
      <c r="H47" s="68"/>
      <c r="I47" s="57"/>
    </row>
    <row r="48" customFormat="false" ht="21.75" hidden="false" customHeight="true" outlineLevel="0" collapsed="false">
      <c r="A48" s="46" t="n">
        <v>46</v>
      </c>
      <c r="B48" s="58" t="s">
        <v>15</v>
      </c>
      <c r="C48" s="59" t="s">
        <v>49</v>
      </c>
      <c r="D48" s="60" t="s">
        <v>105</v>
      </c>
      <c r="E48" s="61" t="s">
        <v>43</v>
      </c>
      <c r="F48" s="62" t="n">
        <v>0.3</v>
      </c>
      <c r="G48" s="63" t="s">
        <v>4</v>
      </c>
      <c r="H48" s="64" t="s">
        <v>106</v>
      </c>
      <c r="I48" s="52"/>
    </row>
    <row r="49" customFormat="false" ht="21.75" hidden="false" customHeight="true" outlineLevel="0" collapsed="false">
      <c r="A49" s="53" t="n">
        <v>47</v>
      </c>
      <c r="B49" s="65" t="s">
        <v>15</v>
      </c>
      <c r="C49" s="59" t="s">
        <v>49</v>
      </c>
      <c r="D49" s="66" t="s">
        <v>107</v>
      </c>
      <c r="E49" s="61" t="s">
        <v>43</v>
      </c>
      <c r="F49" s="67" t="n">
        <v>0.2</v>
      </c>
      <c r="G49" s="63" t="s">
        <v>4</v>
      </c>
      <c r="H49" s="68" t="s">
        <v>108</v>
      </c>
      <c r="I49" s="57"/>
    </row>
    <row r="50" customFormat="false" ht="21.75" hidden="false" customHeight="true" outlineLevel="0" collapsed="false">
      <c r="A50" s="46" t="n">
        <v>48</v>
      </c>
      <c r="B50" s="58" t="s">
        <v>15</v>
      </c>
      <c r="C50" s="59" t="s">
        <v>49</v>
      </c>
      <c r="D50" s="60" t="s">
        <v>109</v>
      </c>
      <c r="E50" s="61" t="s">
        <v>43</v>
      </c>
      <c r="F50" s="62" t="n">
        <v>0</v>
      </c>
      <c r="G50" s="70" t="s">
        <v>5</v>
      </c>
      <c r="H50" s="64" t="s">
        <v>68</v>
      </c>
      <c r="I50" s="52"/>
    </row>
    <row r="51" customFormat="false" ht="21.75" hidden="false" customHeight="true" outlineLevel="0" collapsed="false">
      <c r="A51" s="53" t="n">
        <v>49</v>
      </c>
      <c r="B51" s="65" t="s">
        <v>15</v>
      </c>
      <c r="C51" s="59" t="s">
        <v>49</v>
      </c>
      <c r="D51" s="66" t="s">
        <v>110</v>
      </c>
      <c r="E51" s="61" t="s">
        <v>43</v>
      </c>
      <c r="F51" s="67" t="n">
        <v>0</v>
      </c>
      <c r="G51" s="70" t="s">
        <v>5</v>
      </c>
      <c r="H51" s="68" t="s">
        <v>68</v>
      </c>
      <c r="I51" s="57"/>
    </row>
    <row r="52" customFormat="false" ht="21.75" hidden="false" customHeight="true" outlineLevel="0" collapsed="false">
      <c r="A52" s="46" t="n">
        <v>50</v>
      </c>
      <c r="B52" s="58" t="s">
        <v>15</v>
      </c>
      <c r="C52" s="59" t="s">
        <v>49</v>
      </c>
      <c r="D52" s="60" t="s">
        <v>111</v>
      </c>
      <c r="E52" s="61" t="s">
        <v>43</v>
      </c>
      <c r="F52" s="62" t="n">
        <v>0</v>
      </c>
      <c r="G52" s="70" t="s">
        <v>5</v>
      </c>
      <c r="H52" s="64" t="s">
        <v>68</v>
      </c>
      <c r="I52" s="52"/>
    </row>
    <row r="53" customFormat="false" ht="21.75" hidden="false" customHeight="true" outlineLevel="0" collapsed="false">
      <c r="A53" s="53" t="n">
        <v>51</v>
      </c>
      <c r="B53" s="65" t="s">
        <v>15</v>
      </c>
      <c r="C53" s="59" t="s">
        <v>49</v>
      </c>
      <c r="D53" s="66" t="s">
        <v>112</v>
      </c>
      <c r="E53" s="61" t="s">
        <v>43</v>
      </c>
      <c r="F53" s="67" t="n">
        <v>0</v>
      </c>
      <c r="G53" s="70" t="s">
        <v>5</v>
      </c>
      <c r="H53" s="68" t="s">
        <v>68</v>
      </c>
      <c r="I53" s="57"/>
    </row>
    <row r="54" customFormat="false" ht="21.75" hidden="false" customHeight="true" outlineLevel="0" collapsed="false">
      <c r="A54" s="46" t="n">
        <v>52</v>
      </c>
      <c r="B54" s="58" t="s">
        <v>15</v>
      </c>
      <c r="C54" s="59" t="s">
        <v>49</v>
      </c>
      <c r="D54" s="60" t="s">
        <v>113</v>
      </c>
      <c r="E54" s="61" t="s">
        <v>43</v>
      </c>
      <c r="F54" s="62" t="n">
        <v>0</v>
      </c>
      <c r="G54" s="70" t="s">
        <v>5</v>
      </c>
      <c r="H54" s="64" t="s">
        <v>114</v>
      </c>
      <c r="I54" s="52"/>
    </row>
    <row r="55" customFormat="false" ht="21.75" hidden="false" customHeight="true" outlineLevel="0" collapsed="false">
      <c r="A55" s="53" t="n">
        <v>53</v>
      </c>
      <c r="B55" s="65" t="s">
        <v>15</v>
      </c>
      <c r="C55" s="59" t="s">
        <v>49</v>
      </c>
      <c r="D55" s="66" t="s">
        <v>115</v>
      </c>
      <c r="E55" s="69" t="s">
        <v>54</v>
      </c>
      <c r="F55" s="67" t="n">
        <v>0</v>
      </c>
      <c r="G55" s="70" t="s">
        <v>5</v>
      </c>
      <c r="H55" s="68" t="s">
        <v>116</v>
      </c>
      <c r="I55" s="57"/>
    </row>
    <row r="56" customFormat="false" ht="21.75" hidden="false" customHeight="true" outlineLevel="0" collapsed="false">
      <c r="A56" s="46" t="n">
        <v>54</v>
      </c>
      <c r="B56" s="58" t="s">
        <v>15</v>
      </c>
      <c r="C56" s="59" t="s">
        <v>49</v>
      </c>
      <c r="D56" s="60" t="s">
        <v>117</v>
      </c>
      <c r="E56" s="61" t="s">
        <v>43</v>
      </c>
      <c r="F56" s="62" t="n">
        <v>0</v>
      </c>
      <c r="G56" s="73" t="s">
        <v>6</v>
      </c>
      <c r="H56" s="64" t="s">
        <v>118</v>
      </c>
      <c r="I56" s="52"/>
    </row>
    <row r="57" customFormat="false" ht="21.75" hidden="false" customHeight="true" outlineLevel="0" collapsed="false">
      <c r="A57" s="53" t="n">
        <v>55</v>
      </c>
      <c r="B57" s="27" t="s">
        <v>15</v>
      </c>
      <c r="C57" s="48" t="s">
        <v>49</v>
      </c>
      <c r="D57" s="54" t="s">
        <v>119</v>
      </c>
      <c r="E57" s="48" t="s">
        <v>45</v>
      </c>
      <c r="F57" s="55" t="n">
        <v>1</v>
      </c>
      <c r="G57" s="48" t="s">
        <v>3</v>
      </c>
      <c r="H57" s="56"/>
      <c r="I57" s="57"/>
    </row>
    <row r="58" customFormat="false" ht="21.75" hidden="false" customHeight="true" outlineLevel="0" collapsed="false">
      <c r="A58" s="46" t="n">
        <v>56</v>
      </c>
      <c r="B58" s="47" t="s">
        <v>15</v>
      </c>
      <c r="C58" s="48" t="s">
        <v>49</v>
      </c>
      <c r="D58" s="49" t="s">
        <v>120</v>
      </c>
      <c r="E58" s="48" t="s">
        <v>45</v>
      </c>
      <c r="F58" s="50" t="n">
        <v>1</v>
      </c>
      <c r="G58" s="48" t="s">
        <v>3</v>
      </c>
      <c r="H58" s="51"/>
      <c r="I58" s="52"/>
    </row>
    <row r="59" customFormat="false" ht="21.75" hidden="false" customHeight="true" outlineLevel="0" collapsed="false">
      <c r="A59" s="53" t="n">
        <v>57</v>
      </c>
      <c r="B59" s="65" t="s">
        <v>16</v>
      </c>
      <c r="C59" s="72" t="s">
        <v>41</v>
      </c>
      <c r="D59" s="66" t="s">
        <v>121</v>
      </c>
      <c r="E59" s="61" t="s">
        <v>43</v>
      </c>
      <c r="F59" s="67" t="n">
        <v>0.9</v>
      </c>
      <c r="G59" s="63" t="s">
        <v>4</v>
      </c>
      <c r="H59" s="68" t="s">
        <v>122</v>
      </c>
      <c r="I59" s="57"/>
    </row>
    <row r="60" customFormat="false" ht="21.75" hidden="false" customHeight="true" outlineLevel="0" collapsed="false">
      <c r="A60" s="46" t="n">
        <v>58</v>
      </c>
      <c r="B60" s="58" t="s">
        <v>16</v>
      </c>
      <c r="C60" s="72" t="s">
        <v>41</v>
      </c>
      <c r="D60" s="60" t="s">
        <v>123</v>
      </c>
      <c r="E60" s="61" t="s">
        <v>43</v>
      </c>
      <c r="F60" s="62" t="n">
        <v>0</v>
      </c>
      <c r="G60" s="70" t="s">
        <v>5</v>
      </c>
      <c r="H60" s="64" t="s">
        <v>68</v>
      </c>
      <c r="I60" s="52"/>
    </row>
    <row r="61" customFormat="false" ht="21.75" hidden="false" customHeight="true" outlineLevel="0" collapsed="false">
      <c r="A61" s="53" t="n">
        <v>59</v>
      </c>
      <c r="B61" s="27" t="s">
        <v>16</v>
      </c>
      <c r="C61" s="48" t="s">
        <v>41</v>
      </c>
      <c r="D61" s="54" t="s">
        <v>124</v>
      </c>
      <c r="E61" s="48" t="s">
        <v>45</v>
      </c>
      <c r="F61" s="55" t="n">
        <v>1</v>
      </c>
      <c r="G61" s="48" t="s">
        <v>3</v>
      </c>
      <c r="H61" s="56"/>
      <c r="I61" s="57"/>
    </row>
    <row r="62" customFormat="false" ht="21.75" hidden="false" customHeight="true" outlineLevel="0" collapsed="false">
      <c r="A62" s="46" t="n">
        <v>60</v>
      </c>
      <c r="B62" s="58" t="s">
        <v>16</v>
      </c>
      <c r="C62" s="59" t="s">
        <v>49</v>
      </c>
      <c r="D62" s="60" t="s">
        <v>125</v>
      </c>
      <c r="E62" s="69" t="s">
        <v>54</v>
      </c>
      <c r="F62" s="62" t="n">
        <v>0.5</v>
      </c>
      <c r="G62" s="63" t="s">
        <v>4</v>
      </c>
      <c r="H62" s="64"/>
      <c r="I62" s="52"/>
    </row>
    <row r="63" customFormat="false" ht="21.75" hidden="false" customHeight="true" outlineLevel="0" collapsed="false">
      <c r="A63" s="53" t="n">
        <v>61</v>
      </c>
      <c r="B63" s="65" t="s">
        <v>16</v>
      </c>
      <c r="C63" s="59" t="s">
        <v>49</v>
      </c>
      <c r="D63" s="66" t="s">
        <v>126</v>
      </c>
      <c r="E63" s="69" t="s">
        <v>54</v>
      </c>
      <c r="F63" s="67" t="n">
        <v>0</v>
      </c>
      <c r="G63" s="70" t="s">
        <v>5</v>
      </c>
      <c r="H63" s="68" t="s">
        <v>68</v>
      </c>
      <c r="I63" s="57"/>
    </row>
    <row r="64" customFormat="false" ht="21.75" hidden="false" customHeight="true" outlineLevel="0" collapsed="false">
      <c r="A64" s="46" t="n">
        <v>62</v>
      </c>
      <c r="B64" s="47" t="s">
        <v>16</v>
      </c>
      <c r="C64" s="48" t="s">
        <v>49</v>
      </c>
      <c r="D64" s="49" t="s">
        <v>127</v>
      </c>
      <c r="E64" s="48" t="s">
        <v>45</v>
      </c>
      <c r="F64" s="50" t="n">
        <v>1</v>
      </c>
      <c r="G64" s="48" t="s">
        <v>3</v>
      </c>
      <c r="H64" s="51"/>
      <c r="I64" s="52"/>
    </row>
    <row r="65" customFormat="false" ht="21.75" hidden="false" customHeight="true" outlineLevel="0" collapsed="false">
      <c r="A65" s="53" t="n">
        <v>63</v>
      </c>
      <c r="B65" s="27" t="s">
        <v>16</v>
      </c>
      <c r="C65" s="48" t="s">
        <v>49</v>
      </c>
      <c r="D65" s="54" t="s">
        <v>128</v>
      </c>
      <c r="E65" s="48" t="s">
        <v>45</v>
      </c>
      <c r="F65" s="55" t="n">
        <v>1</v>
      </c>
      <c r="G65" s="48" t="s">
        <v>3</v>
      </c>
      <c r="H65" s="56"/>
      <c r="I65" s="57"/>
    </row>
    <row r="66" customFormat="false" ht="21.75" hidden="false" customHeight="true" outlineLevel="0" collapsed="false">
      <c r="A66" s="46" t="n">
        <v>64</v>
      </c>
      <c r="B66" s="47" t="s">
        <v>16</v>
      </c>
      <c r="C66" s="48" t="s">
        <v>49</v>
      </c>
      <c r="D66" s="49" t="s">
        <v>129</v>
      </c>
      <c r="E66" s="48" t="s">
        <v>45</v>
      </c>
      <c r="F66" s="50" t="n">
        <v>1</v>
      </c>
      <c r="G66" s="48" t="s">
        <v>3</v>
      </c>
      <c r="H66" s="51"/>
      <c r="I66" s="52"/>
    </row>
    <row r="67" customFormat="false" ht="21.75" hidden="false" customHeight="true" outlineLevel="0" collapsed="false">
      <c r="A67" s="53" t="n">
        <v>65</v>
      </c>
      <c r="B67" s="27" t="s">
        <v>16</v>
      </c>
      <c r="C67" s="48" t="s">
        <v>49</v>
      </c>
      <c r="D67" s="54" t="s">
        <v>130</v>
      </c>
      <c r="E67" s="48" t="s">
        <v>45</v>
      </c>
      <c r="F67" s="55" t="n">
        <v>1</v>
      </c>
      <c r="G67" s="48" t="s">
        <v>3</v>
      </c>
      <c r="H67" s="56"/>
      <c r="I67" s="57"/>
    </row>
    <row r="68" customFormat="false" ht="21.75" hidden="false" customHeight="true" outlineLevel="0" collapsed="false">
      <c r="A68" s="46" t="n">
        <v>66</v>
      </c>
      <c r="B68" s="47" t="s">
        <v>16</v>
      </c>
      <c r="C68" s="48" t="s">
        <v>49</v>
      </c>
      <c r="D68" s="49" t="s">
        <v>131</v>
      </c>
      <c r="E68" s="48" t="s">
        <v>45</v>
      </c>
      <c r="F68" s="50" t="n">
        <v>1</v>
      </c>
      <c r="G68" s="48" t="s">
        <v>3</v>
      </c>
      <c r="H68" s="51"/>
      <c r="I68" s="52"/>
    </row>
    <row r="69" customFormat="false" ht="21.75" hidden="false" customHeight="true" outlineLevel="0" collapsed="false">
      <c r="A69" s="53" t="n">
        <v>67</v>
      </c>
      <c r="B69" s="27" t="s">
        <v>16</v>
      </c>
      <c r="C69" s="48" t="s">
        <v>49</v>
      </c>
      <c r="D69" s="54" t="s">
        <v>132</v>
      </c>
      <c r="E69" s="48" t="s">
        <v>45</v>
      </c>
      <c r="F69" s="55" t="n">
        <v>1</v>
      </c>
      <c r="G69" s="48" t="s">
        <v>3</v>
      </c>
      <c r="H69" s="56"/>
      <c r="I69" s="57"/>
    </row>
    <row r="70" customFormat="false" ht="21.75" hidden="false" customHeight="true" outlineLevel="0" collapsed="false">
      <c r="A70" s="46" t="n">
        <v>68</v>
      </c>
      <c r="B70" s="58" t="s">
        <v>17</v>
      </c>
      <c r="C70" s="59" t="s">
        <v>49</v>
      </c>
      <c r="D70" s="60" t="s">
        <v>133</v>
      </c>
      <c r="E70" s="69" t="s">
        <v>54</v>
      </c>
      <c r="F70" s="62" t="n">
        <v>0.5</v>
      </c>
      <c r="G70" s="63" t="s">
        <v>4</v>
      </c>
      <c r="H70" s="64" t="s">
        <v>134</v>
      </c>
      <c r="I70" s="52"/>
    </row>
    <row r="71" customFormat="false" ht="21.75" hidden="false" customHeight="true" outlineLevel="0" collapsed="false">
      <c r="A71" s="53" t="n">
        <v>69</v>
      </c>
      <c r="B71" s="27" t="s">
        <v>17</v>
      </c>
      <c r="C71" s="48" t="s">
        <v>49</v>
      </c>
      <c r="D71" s="54" t="s">
        <v>135</v>
      </c>
      <c r="E71" s="48" t="s">
        <v>45</v>
      </c>
      <c r="F71" s="55" t="n">
        <v>1</v>
      </c>
      <c r="G71" s="48" t="s">
        <v>3</v>
      </c>
      <c r="H71" s="56"/>
      <c r="I71" s="57"/>
    </row>
    <row r="72" customFormat="false" ht="21.75" hidden="false" customHeight="true" outlineLevel="0" collapsed="false">
      <c r="A72" s="46" t="n">
        <v>70</v>
      </c>
      <c r="B72" s="47" t="s">
        <v>17</v>
      </c>
      <c r="C72" s="48" t="s">
        <v>49</v>
      </c>
      <c r="D72" s="49" t="s">
        <v>136</v>
      </c>
      <c r="E72" s="48" t="s">
        <v>45</v>
      </c>
      <c r="F72" s="50" t="n">
        <v>1</v>
      </c>
      <c r="G72" s="48" t="s">
        <v>3</v>
      </c>
      <c r="H72" s="51"/>
      <c r="I72" s="52"/>
    </row>
    <row r="73" customFormat="false" ht="21.75" hidden="false" customHeight="true" outlineLevel="0" collapsed="false">
      <c r="A73" s="53" t="n">
        <v>71</v>
      </c>
      <c r="B73" s="27" t="s">
        <v>17</v>
      </c>
      <c r="C73" s="48" t="s">
        <v>49</v>
      </c>
      <c r="D73" s="54" t="s">
        <v>131</v>
      </c>
      <c r="E73" s="48" t="s">
        <v>45</v>
      </c>
      <c r="F73" s="55" t="n">
        <v>1</v>
      </c>
      <c r="G73" s="48" t="s">
        <v>3</v>
      </c>
      <c r="H73" s="56"/>
      <c r="I73" s="57"/>
    </row>
    <row r="74" customFormat="false" ht="21.75" hidden="false" customHeight="true" outlineLevel="0" collapsed="false">
      <c r="A74" s="46" t="n">
        <v>72</v>
      </c>
      <c r="B74" s="58" t="s">
        <v>18</v>
      </c>
      <c r="C74" s="72" t="s">
        <v>41</v>
      </c>
      <c r="D74" s="60" t="s">
        <v>137</v>
      </c>
      <c r="E74" s="61" t="s">
        <v>43</v>
      </c>
      <c r="F74" s="62" t="n">
        <v>0</v>
      </c>
      <c r="G74" s="70" t="s">
        <v>5</v>
      </c>
      <c r="H74" s="64"/>
      <c r="I74" s="52"/>
    </row>
    <row r="75" customFormat="false" ht="21.75" hidden="false" customHeight="true" outlineLevel="0" collapsed="false">
      <c r="A75" s="53" t="n">
        <v>73</v>
      </c>
      <c r="B75" s="65" t="s">
        <v>18</v>
      </c>
      <c r="C75" s="72" t="s">
        <v>41</v>
      </c>
      <c r="D75" s="66" t="s">
        <v>138</v>
      </c>
      <c r="E75" s="69" t="s">
        <v>54</v>
      </c>
      <c r="F75" s="67" t="n">
        <v>0</v>
      </c>
      <c r="G75" s="70" t="s">
        <v>5</v>
      </c>
      <c r="H75" s="68" t="s">
        <v>68</v>
      </c>
      <c r="I75" s="57"/>
    </row>
    <row r="76" customFormat="false" ht="21.75" hidden="false" customHeight="true" outlineLevel="0" collapsed="false">
      <c r="A76" s="46" t="n">
        <v>74</v>
      </c>
      <c r="B76" s="58" t="s">
        <v>18</v>
      </c>
      <c r="C76" s="72" t="s">
        <v>41</v>
      </c>
      <c r="D76" s="60" t="s">
        <v>139</v>
      </c>
      <c r="E76" s="61" t="s">
        <v>43</v>
      </c>
      <c r="F76" s="62" t="n">
        <v>0.2</v>
      </c>
      <c r="G76" s="74" t="s">
        <v>29</v>
      </c>
      <c r="H76" s="64" t="s">
        <v>140</v>
      </c>
      <c r="I76" s="52"/>
    </row>
    <row r="77" customFormat="false" ht="21.75" hidden="false" customHeight="true" outlineLevel="0" collapsed="false">
      <c r="A77" s="53" t="n">
        <v>75</v>
      </c>
      <c r="B77" s="27" t="s">
        <v>18</v>
      </c>
      <c r="C77" s="48" t="s">
        <v>41</v>
      </c>
      <c r="D77" s="54" t="s">
        <v>141</v>
      </c>
      <c r="E77" s="48" t="s">
        <v>45</v>
      </c>
      <c r="F77" s="55" t="n">
        <v>1</v>
      </c>
      <c r="G77" s="48" t="s">
        <v>3</v>
      </c>
      <c r="H77" s="56"/>
      <c r="I77" s="57"/>
    </row>
    <row r="78" customFormat="false" ht="21.75" hidden="false" customHeight="true" outlineLevel="0" collapsed="false">
      <c r="A78" s="46" t="n">
        <v>76</v>
      </c>
      <c r="B78" s="47" t="s">
        <v>18</v>
      </c>
      <c r="C78" s="48" t="s">
        <v>41</v>
      </c>
      <c r="D78" s="49" t="s">
        <v>142</v>
      </c>
      <c r="E78" s="48" t="s">
        <v>45</v>
      </c>
      <c r="F78" s="50" t="n">
        <v>1</v>
      </c>
      <c r="G78" s="48" t="s">
        <v>3</v>
      </c>
      <c r="H78" s="51"/>
      <c r="I78" s="52"/>
    </row>
    <row r="79" customFormat="false" ht="21.75" hidden="false" customHeight="true" outlineLevel="0" collapsed="false">
      <c r="A79" s="53" t="n">
        <v>77</v>
      </c>
      <c r="B79" s="65" t="s">
        <v>18</v>
      </c>
      <c r="C79" s="59" t="s">
        <v>49</v>
      </c>
      <c r="D79" s="66" t="s">
        <v>143</v>
      </c>
      <c r="E79" s="61" t="s">
        <v>43</v>
      </c>
      <c r="F79" s="67" t="n">
        <v>0.6</v>
      </c>
      <c r="G79" s="63" t="s">
        <v>4</v>
      </c>
      <c r="H79" s="68"/>
      <c r="I79" s="57"/>
    </row>
    <row r="80" customFormat="false" ht="21.75" hidden="false" customHeight="true" outlineLevel="0" collapsed="false">
      <c r="A80" s="46" t="n">
        <v>78</v>
      </c>
      <c r="B80" s="58" t="s">
        <v>18</v>
      </c>
      <c r="C80" s="59" t="s">
        <v>49</v>
      </c>
      <c r="D80" s="60" t="s">
        <v>144</v>
      </c>
      <c r="E80" s="61" t="s">
        <v>43</v>
      </c>
      <c r="F80" s="62" t="n">
        <v>0.7</v>
      </c>
      <c r="G80" s="63" t="s">
        <v>4</v>
      </c>
      <c r="H80" s="64"/>
      <c r="I80" s="52"/>
    </row>
    <row r="81" customFormat="false" ht="21.75" hidden="false" customHeight="true" outlineLevel="0" collapsed="false">
      <c r="A81" s="53" t="n">
        <v>79</v>
      </c>
      <c r="B81" s="65" t="s">
        <v>18</v>
      </c>
      <c r="C81" s="59" t="s">
        <v>49</v>
      </c>
      <c r="D81" s="66" t="s">
        <v>145</v>
      </c>
      <c r="E81" s="69" t="s">
        <v>54</v>
      </c>
      <c r="F81" s="67" t="n">
        <v>0.5</v>
      </c>
      <c r="G81" s="63" t="s">
        <v>4</v>
      </c>
      <c r="H81" s="68"/>
      <c r="I81" s="57"/>
    </row>
    <row r="82" customFormat="false" ht="21.75" hidden="false" customHeight="true" outlineLevel="0" collapsed="false">
      <c r="A82" s="46" t="n">
        <v>80</v>
      </c>
      <c r="B82" s="58" t="s">
        <v>18</v>
      </c>
      <c r="C82" s="59" t="s">
        <v>49</v>
      </c>
      <c r="D82" s="60" t="s">
        <v>146</v>
      </c>
      <c r="E82" s="69" t="s">
        <v>54</v>
      </c>
      <c r="F82" s="62" t="n">
        <v>0.5</v>
      </c>
      <c r="G82" s="63" t="s">
        <v>4</v>
      </c>
      <c r="H82" s="64"/>
      <c r="I82" s="52"/>
    </row>
    <row r="83" customFormat="false" ht="21.75" hidden="false" customHeight="true" outlineLevel="0" collapsed="false">
      <c r="A83" s="53" t="n">
        <v>81</v>
      </c>
      <c r="B83" s="65" t="s">
        <v>18</v>
      </c>
      <c r="C83" s="59" t="s">
        <v>49</v>
      </c>
      <c r="D83" s="66" t="s">
        <v>147</v>
      </c>
      <c r="E83" s="69" t="s">
        <v>54</v>
      </c>
      <c r="F83" s="67" t="n">
        <v>0.5</v>
      </c>
      <c r="G83" s="63" t="s">
        <v>4</v>
      </c>
      <c r="H83" s="68"/>
      <c r="I83" s="57"/>
    </row>
    <row r="84" customFormat="false" ht="21.75" hidden="false" customHeight="true" outlineLevel="0" collapsed="false">
      <c r="A84" s="46" t="n">
        <v>82</v>
      </c>
      <c r="B84" s="58" t="s">
        <v>18</v>
      </c>
      <c r="C84" s="59" t="s">
        <v>49</v>
      </c>
      <c r="D84" s="60" t="s">
        <v>148</v>
      </c>
      <c r="E84" s="61" t="s">
        <v>43</v>
      </c>
      <c r="F84" s="62" t="n">
        <v>0.4</v>
      </c>
      <c r="G84" s="63" t="s">
        <v>4</v>
      </c>
      <c r="H84" s="64" t="s">
        <v>149</v>
      </c>
      <c r="I84" s="52"/>
    </row>
    <row r="85" customFormat="false" ht="21.75" hidden="false" customHeight="true" outlineLevel="0" collapsed="false">
      <c r="A85" s="53" t="n">
        <v>83</v>
      </c>
      <c r="B85" s="65" t="s">
        <v>18</v>
      </c>
      <c r="C85" s="59" t="s">
        <v>49</v>
      </c>
      <c r="D85" s="66" t="s">
        <v>150</v>
      </c>
      <c r="E85" s="69" t="s">
        <v>54</v>
      </c>
      <c r="F85" s="67" t="n">
        <v>0</v>
      </c>
      <c r="G85" s="70" t="s">
        <v>5</v>
      </c>
      <c r="H85" s="68" t="s">
        <v>68</v>
      </c>
      <c r="I85" s="57"/>
    </row>
    <row r="86" customFormat="false" ht="21.75" hidden="false" customHeight="true" outlineLevel="0" collapsed="false">
      <c r="A86" s="46" t="n">
        <v>84</v>
      </c>
      <c r="B86" s="47" t="s">
        <v>19</v>
      </c>
      <c r="C86" s="48" t="s">
        <v>41</v>
      </c>
      <c r="D86" s="49" t="s">
        <v>151</v>
      </c>
      <c r="E86" s="48" t="s">
        <v>45</v>
      </c>
      <c r="F86" s="50" t="n">
        <v>1</v>
      </c>
      <c r="G86" s="48" t="s">
        <v>3</v>
      </c>
      <c r="H86" s="51"/>
      <c r="I86" s="52"/>
    </row>
    <row r="87" customFormat="false" ht="21.75" hidden="false" customHeight="true" outlineLevel="0" collapsed="false">
      <c r="A87" s="53" t="n">
        <v>85</v>
      </c>
      <c r="B87" s="65" t="s">
        <v>19</v>
      </c>
      <c r="C87" s="59" t="s">
        <v>49</v>
      </c>
      <c r="D87" s="66" t="s">
        <v>133</v>
      </c>
      <c r="E87" s="69" t="s">
        <v>54</v>
      </c>
      <c r="F87" s="67" t="n">
        <v>0.5</v>
      </c>
      <c r="G87" s="63" t="s">
        <v>4</v>
      </c>
      <c r="H87" s="68" t="s">
        <v>134</v>
      </c>
      <c r="I87" s="57"/>
    </row>
    <row r="88" customFormat="false" ht="21.75" hidden="false" customHeight="true" outlineLevel="0" collapsed="false">
      <c r="A88" s="46" t="n">
        <v>86</v>
      </c>
      <c r="B88" s="47" t="s">
        <v>19</v>
      </c>
      <c r="C88" s="48" t="s">
        <v>49</v>
      </c>
      <c r="D88" s="49" t="s">
        <v>136</v>
      </c>
      <c r="E88" s="48" t="s">
        <v>45</v>
      </c>
      <c r="F88" s="50" t="n">
        <v>1</v>
      </c>
      <c r="G88" s="48" t="s">
        <v>3</v>
      </c>
      <c r="H88" s="51"/>
      <c r="I88" s="52"/>
    </row>
    <row r="89" customFormat="false" ht="21.75" hidden="false" customHeight="true" outlineLevel="0" collapsed="false">
      <c r="A89" s="53" t="n">
        <v>87</v>
      </c>
      <c r="B89" s="27" t="s">
        <v>19</v>
      </c>
      <c r="C89" s="48" t="s">
        <v>49</v>
      </c>
      <c r="D89" s="54" t="s">
        <v>135</v>
      </c>
      <c r="E89" s="48" t="s">
        <v>45</v>
      </c>
      <c r="F89" s="55" t="n">
        <v>1</v>
      </c>
      <c r="G89" s="48" t="s">
        <v>3</v>
      </c>
      <c r="H89" s="56"/>
      <c r="I89" s="57"/>
    </row>
    <row r="90" customFormat="false" ht="21.75" hidden="false" customHeight="true" outlineLevel="0" collapsed="false">
      <c r="A90" s="46" t="n">
        <v>88</v>
      </c>
      <c r="B90" s="47" t="s">
        <v>19</v>
      </c>
      <c r="C90" s="48" t="s">
        <v>49</v>
      </c>
      <c r="D90" s="49" t="s">
        <v>131</v>
      </c>
      <c r="E90" s="48" t="s">
        <v>45</v>
      </c>
      <c r="F90" s="50" t="n">
        <v>1</v>
      </c>
      <c r="G90" s="48" t="s">
        <v>3</v>
      </c>
      <c r="H90" s="51"/>
      <c r="I90" s="52"/>
    </row>
    <row r="91" customFormat="false" ht="21.75" hidden="false" customHeight="true" outlineLevel="0" collapsed="false">
      <c r="A91" s="53" t="n">
        <v>89</v>
      </c>
      <c r="B91" s="27" t="s">
        <v>20</v>
      </c>
      <c r="C91" s="48" t="s">
        <v>41</v>
      </c>
      <c r="D91" s="54" t="s">
        <v>48</v>
      </c>
      <c r="E91" s="48" t="s">
        <v>45</v>
      </c>
      <c r="F91" s="55" t="n">
        <v>1</v>
      </c>
      <c r="G91" s="48" t="s">
        <v>3</v>
      </c>
      <c r="H91" s="56"/>
      <c r="I91" s="57"/>
    </row>
    <row r="92" customFormat="false" ht="21.75" hidden="false" customHeight="true" outlineLevel="0" collapsed="false">
      <c r="A92" s="46" t="n">
        <v>90</v>
      </c>
      <c r="B92" s="47" t="s">
        <v>20</v>
      </c>
      <c r="C92" s="48" t="s">
        <v>41</v>
      </c>
      <c r="D92" s="49" t="s">
        <v>152</v>
      </c>
      <c r="E92" s="48" t="s">
        <v>45</v>
      </c>
      <c r="F92" s="50" t="n">
        <v>1</v>
      </c>
      <c r="G92" s="48" t="s">
        <v>3</v>
      </c>
      <c r="H92" s="51"/>
      <c r="I92" s="52"/>
    </row>
    <row r="93" customFormat="false" ht="21.75" hidden="false" customHeight="true" outlineLevel="0" collapsed="false">
      <c r="A93" s="53" t="n">
        <v>91</v>
      </c>
      <c r="B93" s="27" t="s">
        <v>20</v>
      </c>
      <c r="C93" s="48" t="s">
        <v>49</v>
      </c>
      <c r="D93" s="54" t="s">
        <v>153</v>
      </c>
      <c r="E93" s="48" t="s">
        <v>45</v>
      </c>
      <c r="F93" s="55" t="n">
        <v>1</v>
      </c>
      <c r="G93" s="48" t="s">
        <v>3</v>
      </c>
      <c r="H93" s="56"/>
      <c r="I93" s="57"/>
    </row>
    <row r="94" customFormat="false" ht="21.75" hidden="false" customHeight="true" outlineLevel="0" collapsed="false">
      <c r="A94" s="46" t="n">
        <v>92</v>
      </c>
      <c r="B94" s="58" t="s">
        <v>21</v>
      </c>
      <c r="C94" s="72" t="s">
        <v>41</v>
      </c>
      <c r="D94" s="60" t="s">
        <v>154</v>
      </c>
      <c r="E94" s="61" t="s">
        <v>43</v>
      </c>
      <c r="F94" s="62" t="n">
        <v>0.2</v>
      </c>
      <c r="G94" s="63" t="s">
        <v>4</v>
      </c>
      <c r="H94" s="64" t="s">
        <v>155</v>
      </c>
      <c r="I94" s="52"/>
    </row>
    <row r="95" customFormat="false" ht="21.75" hidden="false" customHeight="true" outlineLevel="0" collapsed="false">
      <c r="A95" s="53" t="n">
        <v>93</v>
      </c>
      <c r="B95" s="27" t="s">
        <v>21</v>
      </c>
      <c r="C95" s="48" t="s">
        <v>41</v>
      </c>
      <c r="D95" s="54" t="s">
        <v>156</v>
      </c>
      <c r="E95" s="48" t="s">
        <v>45</v>
      </c>
      <c r="F95" s="55" t="n">
        <v>1</v>
      </c>
      <c r="G95" s="48" t="s">
        <v>3</v>
      </c>
      <c r="H95" s="56"/>
      <c r="I95" s="57"/>
    </row>
    <row r="96" customFormat="false" ht="21.75" hidden="false" customHeight="true" outlineLevel="0" collapsed="false">
      <c r="A96" s="46" t="n">
        <v>94</v>
      </c>
      <c r="B96" s="58" t="s">
        <v>21</v>
      </c>
      <c r="C96" s="59" t="s">
        <v>49</v>
      </c>
      <c r="D96" s="60" t="s">
        <v>157</v>
      </c>
      <c r="E96" s="69" t="s">
        <v>54</v>
      </c>
      <c r="F96" s="62" t="n">
        <v>0.5</v>
      </c>
      <c r="G96" s="63" t="s">
        <v>4</v>
      </c>
      <c r="H96" s="64" t="s">
        <v>158</v>
      </c>
      <c r="I96" s="52"/>
    </row>
    <row r="97" customFormat="false" ht="21.75" hidden="false" customHeight="true" outlineLevel="0" collapsed="false">
      <c r="A97" s="53" t="n">
        <v>95</v>
      </c>
      <c r="B97" s="65" t="s">
        <v>21</v>
      </c>
      <c r="C97" s="59" t="s">
        <v>49</v>
      </c>
      <c r="D97" s="66" t="s">
        <v>159</v>
      </c>
      <c r="E97" s="61" t="s">
        <v>43</v>
      </c>
      <c r="F97" s="67" t="n">
        <v>0</v>
      </c>
      <c r="G97" s="70" t="s">
        <v>5</v>
      </c>
      <c r="H97" s="68" t="s">
        <v>68</v>
      </c>
      <c r="I97" s="57"/>
    </row>
    <row r="98" customFormat="false" ht="21.75" hidden="false" customHeight="true" outlineLevel="0" collapsed="false">
      <c r="A98" s="46" t="n">
        <v>96</v>
      </c>
      <c r="B98" s="58" t="s">
        <v>21</v>
      </c>
      <c r="C98" s="59" t="s">
        <v>49</v>
      </c>
      <c r="D98" s="60" t="s">
        <v>160</v>
      </c>
      <c r="E98" s="69" t="s">
        <v>54</v>
      </c>
      <c r="F98" s="62" t="n">
        <v>0</v>
      </c>
      <c r="G98" s="70" t="s">
        <v>5</v>
      </c>
      <c r="H98" s="64" t="s">
        <v>68</v>
      </c>
      <c r="I98" s="52"/>
    </row>
    <row r="99" customFormat="false" ht="21.75" hidden="false" customHeight="true" outlineLevel="0" collapsed="false">
      <c r="A99" s="53" t="n">
        <v>97</v>
      </c>
      <c r="B99" s="65" t="s">
        <v>21</v>
      </c>
      <c r="C99" s="59" t="s">
        <v>49</v>
      </c>
      <c r="D99" s="66" t="s">
        <v>161</v>
      </c>
      <c r="E99" s="69" t="s">
        <v>54</v>
      </c>
      <c r="F99" s="67" t="n">
        <v>0</v>
      </c>
      <c r="G99" s="70" t="s">
        <v>5</v>
      </c>
      <c r="H99" s="68" t="s">
        <v>68</v>
      </c>
      <c r="I99" s="57"/>
    </row>
    <row r="100" customFormat="false" ht="21.75" hidden="false" customHeight="true" outlineLevel="0" collapsed="false">
      <c r="A100" s="46" t="n">
        <v>98</v>
      </c>
      <c r="B100" s="58" t="s">
        <v>22</v>
      </c>
      <c r="C100" s="72" t="s">
        <v>41</v>
      </c>
      <c r="D100" s="60" t="s">
        <v>162</v>
      </c>
      <c r="E100" s="69" t="s">
        <v>54</v>
      </c>
      <c r="F100" s="62" t="n">
        <v>0</v>
      </c>
      <c r="G100" s="74" t="s">
        <v>29</v>
      </c>
      <c r="H100" s="64" t="s">
        <v>163</v>
      </c>
      <c r="I100" s="52"/>
    </row>
    <row r="101" customFormat="false" ht="21.75" hidden="false" customHeight="true" outlineLevel="0" collapsed="false">
      <c r="A101" s="53" t="n">
        <v>99</v>
      </c>
      <c r="B101" s="27" t="s">
        <v>22</v>
      </c>
      <c r="C101" s="48" t="s">
        <v>41</v>
      </c>
      <c r="D101" s="54" t="s">
        <v>164</v>
      </c>
      <c r="E101" s="48" t="s">
        <v>45</v>
      </c>
      <c r="F101" s="55" t="n">
        <v>1</v>
      </c>
      <c r="G101" s="48" t="s">
        <v>3</v>
      </c>
      <c r="H101" s="56"/>
      <c r="I101" s="57"/>
    </row>
    <row r="102" customFormat="false" ht="21.75" hidden="false" customHeight="true" outlineLevel="0" collapsed="false">
      <c r="A102" s="46" t="n">
        <v>100</v>
      </c>
      <c r="B102" s="58" t="s">
        <v>23</v>
      </c>
      <c r="C102" s="72" t="s">
        <v>41</v>
      </c>
      <c r="D102" s="60" t="s">
        <v>165</v>
      </c>
      <c r="E102" s="61" t="s">
        <v>43</v>
      </c>
      <c r="F102" s="62" t="n">
        <v>0</v>
      </c>
      <c r="G102" s="63" t="s">
        <v>4</v>
      </c>
      <c r="H102" s="64" t="s">
        <v>166</v>
      </c>
      <c r="I102" s="52"/>
    </row>
    <row r="103" customFormat="false" ht="21.75" hidden="false" customHeight="true" outlineLevel="0" collapsed="false">
      <c r="A103" s="53" t="n">
        <v>101</v>
      </c>
      <c r="B103" s="65" t="s">
        <v>23</v>
      </c>
      <c r="C103" s="72" t="s">
        <v>41</v>
      </c>
      <c r="D103" s="66" t="s">
        <v>167</v>
      </c>
      <c r="E103" s="61" t="s">
        <v>43</v>
      </c>
      <c r="F103" s="67" t="n">
        <v>0.3</v>
      </c>
      <c r="G103" s="63" t="s">
        <v>4</v>
      </c>
      <c r="H103" s="68" t="s">
        <v>168</v>
      </c>
      <c r="I103" s="57"/>
    </row>
    <row r="104" customFormat="false" ht="21.75" hidden="false" customHeight="true" outlineLevel="0" collapsed="false">
      <c r="A104" s="46" t="n">
        <v>102</v>
      </c>
      <c r="B104" s="58" t="s">
        <v>23</v>
      </c>
      <c r="C104" s="72" t="s">
        <v>41</v>
      </c>
      <c r="D104" s="60" t="s">
        <v>169</v>
      </c>
      <c r="E104" s="61" t="s">
        <v>43</v>
      </c>
      <c r="F104" s="62" t="n">
        <v>0</v>
      </c>
      <c r="G104" s="70" t="s">
        <v>5</v>
      </c>
      <c r="H104" s="64" t="s">
        <v>170</v>
      </c>
      <c r="I104" s="52"/>
    </row>
    <row r="105" customFormat="false" ht="21.75" hidden="false" customHeight="true" outlineLevel="0" collapsed="false">
      <c r="A105" s="53" t="n">
        <v>103</v>
      </c>
      <c r="B105" s="65" t="s">
        <v>23</v>
      </c>
      <c r="C105" s="72" t="s">
        <v>41</v>
      </c>
      <c r="D105" s="66" t="s">
        <v>171</v>
      </c>
      <c r="E105" s="61" t="s">
        <v>43</v>
      </c>
      <c r="F105" s="67" t="n">
        <v>0</v>
      </c>
      <c r="G105" s="70" t="s">
        <v>5</v>
      </c>
      <c r="H105" s="68" t="s">
        <v>172</v>
      </c>
      <c r="I105" s="57"/>
    </row>
    <row r="106" customFormat="false" ht="21.75" hidden="false" customHeight="true" outlineLevel="0" collapsed="false">
      <c r="A106" s="46" t="n">
        <v>104</v>
      </c>
      <c r="B106" s="58" t="s">
        <v>23</v>
      </c>
      <c r="C106" s="72" t="s">
        <v>41</v>
      </c>
      <c r="D106" s="60" t="s">
        <v>173</v>
      </c>
      <c r="E106" s="61" t="s">
        <v>43</v>
      </c>
      <c r="F106" s="62" t="n">
        <v>0</v>
      </c>
      <c r="G106" s="70" t="s">
        <v>5</v>
      </c>
      <c r="H106" s="64" t="s">
        <v>174</v>
      </c>
      <c r="I106" s="52"/>
    </row>
    <row r="107" customFormat="false" ht="21.75" hidden="false" customHeight="true" outlineLevel="0" collapsed="false">
      <c r="A107" s="53" t="n">
        <v>105</v>
      </c>
      <c r="B107" s="65" t="s">
        <v>23</v>
      </c>
      <c r="C107" s="72" t="s">
        <v>41</v>
      </c>
      <c r="D107" s="66" t="s">
        <v>175</v>
      </c>
      <c r="E107" s="61" t="s">
        <v>43</v>
      </c>
      <c r="F107" s="67" t="n">
        <v>0</v>
      </c>
      <c r="G107" s="70" t="s">
        <v>5</v>
      </c>
      <c r="H107" s="68" t="s">
        <v>176</v>
      </c>
      <c r="I107" s="57"/>
    </row>
    <row r="108" customFormat="false" ht="21.75" hidden="false" customHeight="true" outlineLevel="0" collapsed="false">
      <c r="A108" s="46" t="n">
        <v>106</v>
      </c>
      <c r="B108" s="58" t="s">
        <v>23</v>
      </c>
      <c r="C108" s="72" t="s">
        <v>41</v>
      </c>
      <c r="D108" s="60" t="s">
        <v>177</v>
      </c>
      <c r="E108" s="61" t="s">
        <v>43</v>
      </c>
      <c r="F108" s="62" t="n">
        <v>0</v>
      </c>
      <c r="G108" s="73" t="s">
        <v>6</v>
      </c>
      <c r="H108" s="64" t="s">
        <v>178</v>
      </c>
      <c r="I108" s="52"/>
    </row>
    <row r="109" customFormat="false" ht="21.75" hidden="false" customHeight="true" outlineLevel="0" collapsed="false">
      <c r="A109" s="53" t="n">
        <v>107</v>
      </c>
      <c r="B109" s="65" t="s">
        <v>23</v>
      </c>
      <c r="C109" s="72" t="s">
        <v>41</v>
      </c>
      <c r="D109" s="66" t="s">
        <v>179</v>
      </c>
      <c r="E109" s="61" t="s">
        <v>43</v>
      </c>
      <c r="F109" s="67" t="n">
        <v>0</v>
      </c>
      <c r="G109" s="73" t="s">
        <v>6</v>
      </c>
      <c r="H109" s="68" t="s">
        <v>180</v>
      </c>
      <c r="I109" s="57"/>
    </row>
    <row r="110" customFormat="false" ht="21.75" hidden="false" customHeight="true" outlineLevel="0" collapsed="false">
      <c r="A110" s="46" t="n">
        <v>108</v>
      </c>
      <c r="B110" s="58" t="s">
        <v>23</v>
      </c>
      <c r="C110" s="72" t="s">
        <v>41</v>
      </c>
      <c r="D110" s="60" t="s">
        <v>181</v>
      </c>
      <c r="E110" s="61" t="s">
        <v>43</v>
      </c>
      <c r="F110" s="62" t="n">
        <v>0</v>
      </c>
      <c r="G110" s="74" t="s">
        <v>29</v>
      </c>
      <c r="H110" s="64" t="s">
        <v>182</v>
      </c>
      <c r="I110" s="52"/>
    </row>
    <row r="111" customFormat="false" ht="21.75" hidden="false" customHeight="true" outlineLevel="0" collapsed="false">
      <c r="A111" s="53" t="n">
        <v>109</v>
      </c>
      <c r="B111" s="65" t="s">
        <v>23</v>
      </c>
      <c r="C111" s="72" t="s">
        <v>41</v>
      </c>
      <c r="D111" s="66" t="s">
        <v>183</v>
      </c>
      <c r="E111" s="61" t="s">
        <v>43</v>
      </c>
      <c r="F111" s="67" t="n">
        <v>0</v>
      </c>
      <c r="G111" s="74" t="s">
        <v>29</v>
      </c>
      <c r="H111" s="68" t="s">
        <v>184</v>
      </c>
      <c r="I111" s="57"/>
    </row>
    <row r="112" customFormat="false" ht="21.75" hidden="false" customHeight="true" outlineLevel="0" collapsed="false">
      <c r="A112" s="46" t="n">
        <v>110</v>
      </c>
      <c r="B112" s="58" t="s">
        <v>23</v>
      </c>
      <c r="C112" s="59" t="s">
        <v>49</v>
      </c>
      <c r="D112" s="60" t="s">
        <v>185</v>
      </c>
      <c r="E112" s="61" t="s">
        <v>43</v>
      </c>
      <c r="F112" s="62" t="n">
        <v>0.95</v>
      </c>
      <c r="G112" s="63" t="s">
        <v>4</v>
      </c>
      <c r="H112" s="64"/>
      <c r="I112" s="52"/>
    </row>
    <row r="113" customFormat="false" ht="21.75" hidden="false" customHeight="true" outlineLevel="0" collapsed="false">
      <c r="A113" s="53" t="n">
        <v>111</v>
      </c>
      <c r="B113" s="65" t="s">
        <v>23</v>
      </c>
      <c r="C113" s="59" t="s">
        <v>49</v>
      </c>
      <c r="D113" s="66" t="s">
        <v>186</v>
      </c>
      <c r="E113" s="61" t="s">
        <v>43</v>
      </c>
      <c r="F113" s="67" t="n">
        <v>0</v>
      </c>
      <c r="G113" s="63" t="s">
        <v>4</v>
      </c>
      <c r="H113" s="68" t="s">
        <v>68</v>
      </c>
      <c r="I113" s="57"/>
    </row>
    <row r="114" customFormat="false" ht="21.75" hidden="false" customHeight="true" outlineLevel="0" collapsed="false">
      <c r="A114" s="46" t="n">
        <v>112</v>
      </c>
      <c r="B114" s="58" t="s">
        <v>23</v>
      </c>
      <c r="C114" s="59" t="s">
        <v>49</v>
      </c>
      <c r="D114" s="60" t="s">
        <v>187</v>
      </c>
      <c r="E114" s="61" t="s">
        <v>43</v>
      </c>
      <c r="F114" s="62" t="n">
        <v>0</v>
      </c>
      <c r="G114" s="63" t="s">
        <v>4</v>
      </c>
      <c r="H114" s="64" t="s">
        <v>68</v>
      </c>
      <c r="I114" s="52"/>
    </row>
    <row r="115" customFormat="false" ht="21.75" hidden="false" customHeight="true" outlineLevel="0" collapsed="false">
      <c r="A115" s="53" t="n">
        <v>113</v>
      </c>
      <c r="B115" s="65" t="s">
        <v>23</v>
      </c>
      <c r="C115" s="59" t="s">
        <v>49</v>
      </c>
      <c r="D115" s="66" t="s">
        <v>188</v>
      </c>
      <c r="E115" s="61" t="s">
        <v>43</v>
      </c>
      <c r="F115" s="67" t="n">
        <v>0.5</v>
      </c>
      <c r="G115" s="63" t="s">
        <v>4</v>
      </c>
      <c r="H115" s="68" t="s">
        <v>189</v>
      </c>
      <c r="I115" s="57"/>
    </row>
    <row r="116" customFormat="false" ht="21.75" hidden="false" customHeight="true" outlineLevel="0" collapsed="false">
      <c r="A116" s="46" t="n">
        <v>114</v>
      </c>
      <c r="B116" s="58" t="s">
        <v>23</v>
      </c>
      <c r="C116" s="59" t="s">
        <v>49</v>
      </c>
      <c r="D116" s="60" t="s">
        <v>190</v>
      </c>
      <c r="E116" s="69" t="s">
        <v>54</v>
      </c>
      <c r="F116" s="62" t="n">
        <v>0.1</v>
      </c>
      <c r="G116" s="63" t="s">
        <v>4</v>
      </c>
      <c r="H116" s="64" t="s">
        <v>191</v>
      </c>
      <c r="I116" s="52"/>
    </row>
    <row r="117" customFormat="false" ht="21.75" hidden="false" customHeight="true" outlineLevel="0" collapsed="false">
      <c r="A117" s="53" t="n">
        <v>115</v>
      </c>
      <c r="B117" s="65" t="s">
        <v>23</v>
      </c>
      <c r="C117" s="59" t="s">
        <v>49</v>
      </c>
      <c r="D117" s="66" t="s">
        <v>192</v>
      </c>
      <c r="E117" s="71" t="s">
        <v>65</v>
      </c>
      <c r="F117" s="67" t="n">
        <v>0</v>
      </c>
      <c r="G117" s="63" t="s">
        <v>4</v>
      </c>
      <c r="H117" s="68" t="s">
        <v>193</v>
      </c>
      <c r="I117" s="57"/>
    </row>
    <row r="118" customFormat="false" ht="21.75" hidden="false" customHeight="true" outlineLevel="0" collapsed="false">
      <c r="A118" s="46" t="n">
        <v>116</v>
      </c>
      <c r="B118" s="58" t="s">
        <v>23</v>
      </c>
      <c r="C118" s="59" t="s">
        <v>49</v>
      </c>
      <c r="D118" s="60" t="s">
        <v>194</v>
      </c>
      <c r="E118" s="61" t="s">
        <v>43</v>
      </c>
      <c r="F118" s="62" t="n">
        <v>0</v>
      </c>
      <c r="G118" s="70" t="s">
        <v>5</v>
      </c>
      <c r="H118" s="64"/>
      <c r="I118" s="52"/>
    </row>
    <row r="119" customFormat="false" ht="21.75" hidden="false" customHeight="true" outlineLevel="0" collapsed="false">
      <c r="A119" s="53" t="n">
        <v>117</v>
      </c>
      <c r="B119" s="65" t="s">
        <v>23</v>
      </c>
      <c r="C119" s="59" t="s">
        <v>49</v>
      </c>
      <c r="D119" s="66" t="s">
        <v>195</v>
      </c>
      <c r="E119" s="61" t="s">
        <v>43</v>
      </c>
      <c r="F119" s="67" t="n">
        <v>0</v>
      </c>
      <c r="G119" s="70" t="s">
        <v>5</v>
      </c>
      <c r="H119" s="68"/>
      <c r="I119" s="57"/>
    </row>
    <row r="120" customFormat="false" ht="21.75" hidden="false" customHeight="true" outlineLevel="0" collapsed="false">
      <c r="A120" s="46" t="n">
        <v>118</v>
      </c>
      <c r="B120" s="58" t="s">
        <v>23</v>
      </c>
      <c r="C120" s="59" t="s">
        <v>49</v>
      </c>
      <c r="D120" s="60" t="s">
        <v>196</v>
      </c>
      <c r="E120" s="69" t="s">
        <v>54</v>
      </c>
      <c r="F120" s="62" t="n">
        <v>0</v>
      </c>
      <c r="G120" s="70" t="s">
        <v>5</v>
      </c>
      <c r="H120" s="64"/>
      <c r="I120" s="52"/>
    </row>
    <row r="121" customFormat="false" ht="21.75" hidden="false" customHeight="true" outlineLevel="0" collapsed="false">
      <c r="A121" s="53" t="n">
        <v>119</v>
      </c>
      <c r="B121" s="65" t="s">
        <v>23</v>
      </c>
      <c r="C121" s="59" t="s">
        <v>49</v>
      </c>
      <c r="D121" s="66" t="s">
        <v>197</v>
      </c>
      <c r="E121" s="69" t="s">
        <v>54</v>
      </c>
      <c r="F121" s="67" t="n">
        <v>0</v>
      </c>
      <c r="G121" s="70" t="s">
        <v>5</v>
      </c>
      <c r="H121" s="68" t="s">
        <v>198</v>
      </c>
      <c r="I121" s="57"/>
    </row>
    <row r="122" customFormat="false" ht="21.75" hidden="false" customHeight="true" outlineLevel="0" collapsed="false">
      <c r="A122" s="46" t="n">
        <v>120</v>
      </c>
      <c r="B122" s="58" t="s">
        <v>23</v>
      </c>
      <c r="C122" s="59" t="s">
        <v>49</v>
      </c>
      <c r="D122" s="60" t="s">
        <v>199</v>
      </c>
      <c r="E122" s="69" t="s">
        <v>54</v>
      </c>
      <c r="F122" s="62" t="n">
        <v>0</v>
      </c>
      <c r="G122" s="70" t="s">
        <v>5</v>
      </c>
      <c r="H122" s="64" t="s">
        <v>200</v>
      </c>
      <c r="I122" s="52"/>
    </row>
    <row r="123" customFormat="false" ht="21.75" hidden="false" customHeight="true" outlineLevel="0" collapsed="false">
      <c r="A123" s="53" t="n">
        <v>121</v>
      </c>
      <c r="B123" s="65" t="s">
        <v>23</v>
      </c>
      <c r="C123" s="59" t="s">
        <v>49</v>
      </c>
      <c r="D123" s="66" t="s">
        <v>201</v>
      </c>
      <c r="E123" s="71" t="s">
        <v>65</v>
      </c>
      <c r="F123" s="67" t="n">
        <v>0</v>
      </c>
      <c r="G123" s="70" t="s">
        <v>5</v>
      </c>
      <c r="H123" s="68" t="s">
        <v>198</v>
      </c>
      <c r="I123" s="57"/>
    </row>
    <row r="124" customFormat="false" ht="21.75" hidden="false" customHeight="true" outlineLevel="0" collapsed="false">
      <c r="A124" s="46" t="n">
        <v>122</v>
      </c>
      <c r="B124" s="58" t="s">
        <v>23</v>
      </c>
      <c r="C124" s="59" t="s">
        <v>49</v>
      </c>
      <c r="D124" s="60" t="s">
        <v>202</v>
      </c>
      <c r="E124" s="69" t="s">
        <v>54</v>
      </c>
      <c r="F124" s="62" t="n">
        <v>0</v>
      </c>
      <c r="G124" s="70" t="s">
        <v>5</v>
      </c>
      <c r="H124" s="64" t="s">
        <v>68</v>
      </c>
      <c r="I124" s="52"/>
    </row>
    <row r="125" customFormat="false" ht="21.75" hidden="false" customHeight="true" outlineLevel="0" collapsed="false">
      <c r="A125" s="53" t="n">
        <v>123</v>
      </c>
      <c r="B125" s="65" t="s">
        <v>23</v>
      </c>
      <c r="C125" s="59" t="s">
        <v>49</v>
      </c>
      <c r="D125" s="66" t="s">
        <v>203</v>
      </c>
      <c r="E125" s="69" t="s">
        <v>54</v>
      </c>
      <c r="F125" s="67" t="n">
        <v>0</v>
      </c>
      <c r="G125" s="70" t="s">
        <v>5</v>
      </c>
      <c r="H125" s="68" t="s">
        <v>68</v>
      </c>
      <c r="I125" s="57"/>
    </row>
    <row r="126" customFormat="false" ht="21.75" hidden="false" customHeight="true" outlineLevel="0" collapsed="false">
      <c r="A126" s="46" t="n">
        <v>124</v>
      </c>
      <c r="B126" s="58" t="s">
        <v>23</v>
      </c>
      <c r="C126" s="59" t="s">
        <v>49</v>
      </c>
      <c r="D126" s="60" t="s">
        <v>204</v>
      </c>
      <c r="E126" s="71" t="s">
        <v>65</v>
      </c>
      <c r="F126" s="62" t="n">
        <v>0</v>
      </c>
      <c r="G126" s="70" t="s">
        <v>5</v>
      </c>
      <c r="H126" s="64" t="s">
        <v>68</v>
      </c>
      <c r="I126" s="52"/>
    </row>
    <row r="127" customFormat="false" ht="21.75" hidden="false" customHeight="true" outlineLevel="0" collapsed="false">
      <c r="A127" s="53" t="n">
        <v>125</v>
      </c>
      <c r="B127" s="65" t="s">
        <v>23</v>
      </c>
      <c r="C127" s="59" t="s">
        <v>49</v>
      </c>
      <c r="D127" s="66" t="s">
        <v>205</v>
      </c>
      <c r="E127" s="71" t="s">
        <v>65</v>
      </c>
      <c r="F127" s="67" t="n">
        <v>0</v>
      </c>
      <c r="G127" s="70" t="s">
        <v>5</v>
      </c>
      <c r="H127" s="68" t="s">
        <v>68</v>
      </c>
      <c r="I127" s="57"/>
    </row>
    <row r="128" customFormat="false" ht="21.75" hidden="false" customHeight="true" outlineLevel="0" collapsed="false">
      <c r="A128" s="46" t="n">
        <v>126</v>
      </c>
      <c r="B128" s="58" t="s">
        <v>23</v>
      </c>
      <c r="C128" s="59" t="s">
        <v>49</v>
      </c>
      <c r="D128" s="60" t="s">
        <v>206</v>
      </c>
      <c r="E128" s="71" t="s">
        <v>65</v>
      </c>
      <c r="F128" s="62" t="n">
        <v>0</v>
      </c>
      <c r="G128" s="70" t="s">
        <v>5</v>
      </c>
      <c r="H128" s="64" t="s">
        <v>68</v>
      </c>
      <c r="I128" s="52"/>
    </row>
    <row r="129" customFormat="false" ht="21.75" hidden="false" customHeight="true" outlineLevel="0" collapsed="false">
      <c r="A129" s="53" t="n">
        <v>127</v>
      </c>
      <c r="B129" s="65" t="s">
        <v>23</v>
      </c>
      <c r="C129" s="59" t="s">
        <v>49</v>
      </c>
      <c r="D129" s="66" t="s">
        <v>207</v>
      </c>
      <c r="E129" s="71" t="s">
        <v>65</v>
      </c>
      <c r="F129" s="67" t="n">
        <v>0</v>
      </c>
      <c r="G129" s="70" t="s">
        <v>5</v>
      </c>
      <c r="H129" s="68" t="s">
        <v>68</v>
      </c>
      <c r="I129" s="57"/>
    </row>
    <row r="130" customFormat="false" ht="21.75" hidden="false" customHeight="true" outlineLevel="0" collapsed="false">
      <c r="A130" s="46" t="n">
        <v>128</v>
      </c>
      <c r="B130" s="58" t="s">
        <v>23</v>
      </c>
      <c r="C130" s="59" t="s">
        <v>49</v>
      </c>
      <c r="D130" s="60" t="s">
        <v>208</v>
      </c>
      <c r="E130" s="69" t="s">
        <v>54</v>
      </c>
      <c r="F130" s="62" t="n">
        <v>0</v>
      </c>
      <c r="G130" s="70" t="s">
        <v>5</v>
      </c>
      <c r="H130" s="64" t="s">
        <v>209</v>
      </c>
      <c r="I130" s="52"/>
    </row>
    <row r="131" customFormat="false" ht="21.75" hidden="false" customHeight="true" outlineLevel="0" collapsed="false">
      <c r="A131" s="53" t="n">
        <v>129</v>
      </c>
      <c r="B131" s="27" t="s">
        <v>23</v>
      </c>
      <c r="C131" s="48" t="s">
        <v>49</v>
      </c>
      <c r="D131" s="54" t="s">
        <v>210</v>
      </c>
      <c r="E131" s="48" t="s">
        <v>45</v>
      </c>
      <c r="F131" s="55" t="n">
        <v>1</v>
      </c>
      <c r="G131" s="48" t="s">
        <v>3</v>
      </c>
      <c r="H131" s="56" t="s">
        <v>211</v>
      </c>
      <c r="I131" s="57"/>
    </row>
  </sheetData>
  <autoFilter ref="A2:I131"/>
  <mergeCells count="1">
    <mergeCell ref="A1:H1"/>
  </mergeCells>
  <conditionalFormatting sqref="F3:F131">
    <cfRule type="dataBar" priority="2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{98C7C47C-23CF-4028-AEB1-3CF675E569A4}</x14:id>
        </ext>
      </extLst>
    </cfRule>
  </conditionalFormatting>
  <conditionalFormatting sqref="G3:G231">
    <cfRule type="expression" priority="3" aboveAverage="0" equalAverage="0" bottom="0" percent="0" rank="0" text="" dxfId="25">
      <formula>$G3="Completed"</formula>
    </cfRule>
    <cfRule type="expression" priority="4" aboveAverage="0" equalAverage="0" bottom="0" percent="0" rank="0" text="" dxfId="26">
      <formula>$G3="In Progress"</formula>
    </cfRule>
    <cfRule type="expression" priority="5" aboveAverage="0" equalAverage="0" bottom="0" percent="0" rank="0" text="" dxfId="27">
      <formula>$G3="Not Started"</formula>
    </cfRule>
    <cfRule type="expression" priority="6" aboveAverage="0" equalAverage="0" bottom="0" percent="0" rank="0" text="" dxfId="28">
      <formula>$G3="Blocked"</formula>
    </cfRule>
    <cfRule type="expression" priority="7" aboveAverage="0" equalAverage="0" bottom="0" percent="0" rank="0" text="" dxfId="29">
      <formula>$G3="Pending Procurement"</formula>
    </cfRule>
  </conditionalFormatting>
  <conditionalFormatting sqref="E3:E231">
    <cfRule type="expression" priority="8" aboveAverage="0" equalAverage="0" bottom="0" percent="0" rank="0" text="" dxfId="30">
      <formula>$E3="High"</formula>
    </cfRule>
    <cfRule type="expression" priority="9" aboveAverage="0" equalAverage="0" bottom="0" percent="0" rank="0" text="" dxfId="31">
      <formula>$E3="Medium"</formula>
    </cfRule>
    <cfRule type="expression" priority="10" aboveAverage="0" equalAverage="0" bottom="0" percent="0" rank="0" text="" dxfId="32">
      <formula>$E3="Low"</formula>
    </cfRule>
  </conditionalFormatting>
  <dataValidations count="4">
    <dataValidation allowBlank="true" errorStyle="stop" operator="between" showDropDown="false" showErrorMessage="false" showInputMessage="false" sqref="B3:B231" type="list">
      <formula1>"Press,Trimming,Washing,Lacquer,Base Coat,Printing,Over Varnish,Main Oven,Necking,Mixer,General"</formula1>
      <formula2>0</formula2>
    </dataValidation>
    <dataValidation allowBlank="true" errorStyle="stop" operator="between" showDropDown="false" showErrorMessage="false" showInputMessage="false" sqref="C3:C231" type="list">
      <formula1>"Electrical,Mechanical"</formula1>
      <formula2>0</formula2>
    </dataValidation>
    <dataValidation allowBlank="true" errorStyle="stop" operator="between" showDropDown="false" showErrorMessage="false" showInputMessage="false" sqref="E3:E231" type="list">
      <formula1>"High,Medium,Low"</formula1>
      <formula2>0</formula2>
    </dataValidation>
    <dataValidation allowBlank="true" errorStyle="stop" operator="between" showDropDown="false" showErrorMessage="false" showInputMessage="false" sqref="G3:G231" type="list">
      <formula1>"Not Started,In Progress,Completed,Blocked,Pending Procurement"</formula1>
      <formula2>0</formula2>
    </dataValidation>
  </dataValidations>
  <hyperlinks>
    <hyperlink ref="I1" r:id="rId1" location="DASHBOARD!B1" display="←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C7C47C-23CF-4028-AEB1-3CF675E569A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F3:F131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2"/>
  </cols>
  <sheetData>
    <row r="1" customFormat="false" ht="30" hidden="false" customHeight="true" outlineLevel="0" collapsed="false">
      <c r="B1" s="75" t="s">
        <v>212</v>
      </c>
      <c r="C1" s="75"/>
    </row>
    <row r="2" customFormat="false" ht="24" hidden="false" customHeight="true" outlineLevel="0" collapsed="false">
      <c r="B2" s="36" t="s">
        <v>213</v>
      </c>
      <c r="C2" s="36" t="s">
        <v>214</v>
      </c>
    </row>
    <row r="3" customFormat="false" ht="27.75" hidden="false" customHeight="true" outlineLevel="0" collapsed="false">
      <c r="B3" s="76" t="s">
        <v>215</v>
      </c>
      <c r="C3" s="77" t="s">
        <v>216</v>
      </c>
    </row>
    <row r="4" customFormat="false" ht="27.75" hidden="false" customHeight="true" outlineLevel="0" collapsed="false">
      <c r="B4" s="78" t="s">
        <v>33</v>
      </c>
      <c r="C4" s="79" t="s">
        <v>217</v>
      </c>
    </row>
    <row r="5" customFormat="false" ht="27.75" hidden="false" customHeight="true" outlineLevel="0" collapsed="false">
      <c r="B5" s="76" t="s">
        <v>34</v>
      </c>
      <c r="C5" s="77" t="s">
        <v>218</v>
      </c>
    </row>
    <row r="6" customFormat="false" ht="27.75" hidden="false" customHeight="true" outlineLevel="0" collapsed="false">
      <c r="B6" s="78" t="s">
        <v>35</v>
      </c>
      <c r="C6" s="79" t="s">
        <v>219</v>
      </c>
    </row>
    <row r="7" customFormat="false" ht="27.75" hidden="false" customHeight="true" outlineLevel="0" collapsed="false">
      <c r="B7" s="76" t="s">
        <v>36</v>
      </c>
      <c r="C7" s="77" t="s">
        <v>220</v>
      </c>
    </row>
    <row r="8" customFormat="false" ht="27.75" hidden="false" customHeight="true" outlineLevel="0" collapsed="false">
      <c r="B8" s="78" t="s">
        <v>37</v>
      </c>
      <c r="C8" s="79" t="s">
        <v>221</v>
      </c>
    </row>
    <row r="9" customFormat="false" ht="27.75" hidden="false" customHeight="true" outlineLevel="0" collapsed="false">
      <c r="B9" s="76" t="s">
        <v>38</v>
      </c>
      <c r="C9" s="77" t="s">
        <v>222</v>
      </c>
    </row>
    <row r="10" customFormat="false" ht="27.75" hidden="false" customHeight="true" outlineLevel="0" collapsed="false">
      <c r="B10" s="78" t="s">
        <v>39</v>
      </c>
      <c r="C10" s="79" t="s">
        <v>223</v>
      </c>
    </row>
    <row r="11" customFormat="false" ht="27.75" hidden="false" customHeight="true" outlineLevel="0" collapsed="false">
      <c r="B11" s="76" t="s">
        <v>40</v>
      </c>
      <c r="C11" s="77" t="s">
        <v>224</v>
      </c>
    </row>
    <row r="12" customFormat="false" ht="27.75" hidden="false" customHeight="true" outlineLevel="0" collapsed="false">
      <c r="B12" s="78" t="s">
        <v>225</v>
      </c>
      <c r="C12" s="79" t="s">
        <v>226</v>
      </c>
    </row>
    <row r="13" customFormat="false" ht="27.75" hidden="false" customHeight="true" outlineLevel="0" collapsed="false">
      <c r="B13" s="76" t="s">
        <v>227</v>
      </c>
      <c r="C13" s="77" t="s">
        <v>228</v>
      </c>
    </row>
    <row r="14" customFormat="false" ht="27.75" hidden="false" customHeight="true" outlineLevel="0" collapsed="false">
      <c r="B14" s="78" t="s">
        <v>229</v>
      </c>
      <c r="C14" s="79" t="s">
        <v>230</v>
      </c>
    </row>
    <row r="15" customFormat="false" ht="27.75" hidden="false" customHeight="true" outlineLevel="0" collapsed="false">
      <c r="B15" s="76" t="s">
        <v>231</v>
      </c>
      <c r="C15" s="77" t="s">
        <v>232</v>
      </c>
    </row>
    <row r="16" customFormat="false" ht="27.75" hidden="false" customHeight="true" outlineLevel="0" collapsed="false">
      <c r="B16" s="78" t="s">
        <v>233</v>
      </c>
      <c r="C16" s="79" t="s">
        <v>234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2026-05-21T10:48:17Z</dcterms:created>
  <dc:creator>openpyxl</dc:creator>
  <dc:description/>
  <dc:language>en-US</dc:language>
  <cp:lastModifiedBy/>
  <dcterms:modified xsi:type="dcterms:W3CDTF">2026-05-21T10:48:17Z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