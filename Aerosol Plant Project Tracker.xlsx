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HOW TO UPDATE" sheetId="3" state="hidden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%"/>
  </numFmts>
  <fonts count="35">
    <font>
      <name val="Calibri"/>
      <charset val="1"/>
      <family val="2"/>
      <color theme="1"/>
      <sz val="11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rgb="FF475569"/>
      <sz val="10"/>
    </font>
    <font>
      <name val="Calibri"/>
      <charset val="1"/>
      <family val="2"/>
      <color rgb="FF475569"/>
      <sz val="10"/>
    </font>
    <font>
      <name val="Calibri"/>
      <charset val="1"/>
      <family val="2"/>
      <b val="1"/>
      <color rgb="FF1D4ED8"/>
      <sz val="10"/>
    </font>
    <font>
      <name val="Calibri"/>
      <charset val="1"/>
      <family val="2"/>
      <b val="1"/>
      <color rgb="FF1E293B"/>
      <sz val="10"/>
    </font>
    <font>
      <name val="Calibri"/>
      <charset val="1"/>
      <family val="2"/>
      <b val="1"/>
      <color rgb="FF15803D"/>
      <sz val="10"/>
    </font>
    <font>
      <name val="Calibri"/>
      <charset val="1"/>
      <family val="2"/>
      <b val="1"/>
      <color rgb="FFB45309"/>
      <sz val="10"/>
    </font>
    <font>
      <name val="Calibri"/>
      <charset val="1"/>
      <family val="2"/>
      <b val="1"/>
      <color rgb="FFB91C1C"/>
      <sz val="10"/>
    </font>
    <font>
      <name val="Calibri"/>
      <charset val="1"/>
      <family val="2"/>
      <b val="1"/>
      <color rgb="FF6D28D9"/>
      <sz val="10"/>
    </font>
    <font>
      <name val="Calibri"/>
      <charset val="1"/>
      <family val="2"/>
      <color rgb="FFB45309"/>
      <sz val="10"/>
    </font>
    <font>
      <name val="Calibri"/>
      <charset val="1"/>
      <family val="2"/>
      <color rgb="FFB91C1C"/>
      <sz val="10"/>
    </font>
    <font>
      <name val="Calibri"/>
      <charset val="1"/>
      <family val="2"/>
      <color rgb="FF15803D"/>
      <sz val="10"/>
    </font>
    <font>
      <name val="Calibri"/>
      <charset val="1"/>
      <family val="2"/>
      <b val="1"/>
      <color rgb="FF0563C1"/>
      <sz val="10"/>
      <u val="single"/>
    </font>
    <font>
      <name val="Calibri"/>
      <family val="2"/>
      <b val="1"/>
      <color rgb="FF0563C1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color rgb="FF757575"/>
      <sz val="10"/>
    </font>
    <font>
      <name val="Arial"/>
      <family val="2"/>
      <color rgb="FF212121"/>
      <sz val="10"/>
    </font>
    <font>
      <name val="Arial"/>
      <family val="2"/>
      <b val="1"/>
      <color rgb="FF2E7D32"/>
      <sz val="10"/>
    </font>
    <font>
      <name val="Arial"/>
      <family val="2"/>
      <b val="1"/>
      <color rgb="FFF57F17"/>
      <sz val="10"/>
    </font>
    <font>
      <name val="Arial"/>
      <family val="2"/>
      <b val="1"/>
      <color rgb="FF616161"/>
      <sz val="10"/>
    </font>
    <font>
      <name val="Arial"/>
      <family val="2"/>
      <b val="1"/>
      <color rgb="FFE65100"/>
      <sz val="10"/>
    </font>
    <font>
      <name val="Arial"/>
      <charset val="1"/>
      <family val="2"/>
      <color rgb="FF212121"/>
      <sz val="10"/>
    </font>
    <font>
      <name val="Arial"/>
      <charset val="1"/>
      <family val="2"/>
      <b val="1"/>
      <color rgb="FFC62828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9"/>
    </font>
    <font>
      <name val="Calibri"/>
      <family val="2"/>
      <b val="1"/>
      <color rgb="FF1F4E79"/>
      <sz val="9"/>
    </font>
    <font>
      <name val="Calibri"/>
      <family val="2"/>
      <color rgb="FF374151"/>
      <sz val="9"/>
    </font>
    <font>
      <name val="Arial"/>
      <charset val="1"/>
      <family val="2"/>
      <b val="1"/>
      <color rgb="FF616161"/>
      <sz val="10"/>
    </font>
    <font>
      <name val="Arial"/>
      <charset val="1"/>
      <family val="2"/>
      <b val="1"/>
      <color rgb="FFF57F17"/>
      <sz val="10"/>
    </font>
    <font>
      <name val="Arial"/>
      <family val="2"/>
      <color rgb="FF212121"/>
      <sz val="10"/>
    </font>
    <font>
      <name val="Arial"/>
      <charset val="1"/>
      <family val="2"/>
      <b val="1"/>
      <color rgb="FF2E7D32"/>
      <sz val="10"/>
    </font>
    <font>
      <name val="Calibri"/>
      <charset val="1"/>
      <family val="2"/>
      <b val="1"/>
      <color rgb="FF0F172A"/>
      <sz val="18"/>
    </font>
    <font>
      <name val="Arial"/>
      <charset val="1"/>
      <family val="2"/>
      <b val="1"/>
      <color rgb="FFE65100"/>
      <sz val="10"/>
    </font>
  </fonts>
  <fills count="16">
    <fill>
      <patternFill/>
    </fill>
    <fill>
      <patternFill patternType="gray125"/>
    </fill>
    <fill>
      <patternFill patternType="solid">
        <fgColor rgb="FFF1F5F9"/>
        <bgColor rgb="FFF3F4F6"/>
      </patternFill>
    </fill>
    <fill>
      <patternFill patternType="solid">
        <fgColor rgb="FFE2E8F0"/>
        <bgColor rgb="FFEBF3FB"/>
      </patternFill>
    </fill>
    <fill>
      <patternFill patternType="solid">
        <fgColor rgb="FFFFFFFF"/>
        <bgColor rgb="FFFAFAFA"/>
      </patternFill>
    </fill>
    <fill>
      <patternFill patternType="solid">
        <fgColor rgb="FFF8FAFC"/>
        <bgColor rgb="FFF9FAFB"/>
      </patternFill>
    </fill>
    <fill>
      <patternFill patternType="solid">
        <fgColor rgb="FF1F4E79"/>
        <bgColor rgb="FF2C3E50"/>
      </patternFill>
    </fill>
    <fill>
      <patternFill patternType="solid">
        <fgColor rgb="FF2C3E50"/>
        <bgColor rgb="FF374151"/>
      </patternFill>
    </fill>
    <fill>
      <patternFill patternType="solid">
        <fgColor rgb="FFEBF3FB"/>
        <bgColor rgb="FFF1F5F9"/>
      </patternFill>
    </fill>
    <fill>
      <patternFill patternType="solid">
        <fgColor rgb="FFFFCDD2"/>
        <bgColor rgb="FFFEE2E2"/>
      </patternFill>
    </fill>
    <fill>
      <patternFill patternType="solid">
        <fgColor rgb="FFE8F5E9"/>
        <bgColor rgb="FFEBF3FB"/>
      </patternFill>
    </fill>
    <fill>
      <patternFill patternType="solid">
        <fgColor rgb="FFFFF9C4"/>
        <bgColor rgb="FFFEF3C7"/>
      </patternFill>
    </fill>
    <fill>
      <patternFill patternType="solid">
        <fgColor rgb="FFF5F5F5"/>
        <bgColor rgb="FFF3F4F6"/>
      </patternFill>
    </fill>
    <fill>
      <patternFill patternType="solid">
        <fgColor rgb="FFFAFAFA"/>
        <bgColor rgb="FFF9FAFB"/>
      </patternFill>
    </fill>
    <fill>
      <patternFill patternType="solid">
        <fgColor rgb="FFFFF3E0"/>
        <bgColor rgb="FFFEF2F2"/>
      </patternFill>
    </fill>
    <fill>
      <patternFill patternType="solid">
        <fgColor rgb="FFFFEBEE"/>
        <bgColor rgb="FFFEF2F2"/>
      </patternFill>
    </fill>
  </fills>
  <borders count="2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0D7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1" fillId="3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/>
    </xf>
    <xf numFmtId="9" fontId="18" fillId="8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left" vertical="center"/>
    </xf>
    <xf numFmtId="0" fontId="0" fillId="0" borderId="1" pivotButton="0" quotePrefix="0" xfId="0"/>
    <xf numFmtId="0" fontId="23" fillId="4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24" fillId="15" borderId="1" applyAlignment="1" pivotButton="0" quotePrefix="0" xfId="0">
      <alignment horizontal="left" vertical="center"/>
    </xf>
    <xf numFmtId="0" fontId="26" fillId="7" borderId="3" applyAlignment="1" pivotButton="0" quotePrefix="0" xfId="0">
      <alignment horizontal="left" vertical="center" indent="1"/>
    </xf>
    <xf numFmtId="0" fontId="27" fillId="4" borderId="4" applyAlignment="1" pivotButton="0" quotePrefix="0" xfId="0">
      <alignment horizontal="left" vertical="center" wrapText="1" indent="1"/>
    </xf>
    <xf numFmtId="0" fontId="28" fillId="4" borderId="4" applyAlignment="1" pivotButton="0" quotePrefix="0" xfId="0">
      <alignment horizontal="left" vertical="center" wrapText="1" indent="1"/>
    </xf>
    <xf numFmtId="0" fontId="27" fillId="5" borderId="4" applyAlignment="1" pivotButton="0" quotePrefix="0" xfId="0">
      <alignment horizontal="left" vertical="center" wrapText="1" indent="1"/>
    </xf>
    <xf numFmtId="0" fontId="28" fillId="5" borderId="4" applyAlignment="1" pivotButton="0" quotePrefix="0" xfId="0">
      <alignment horizontal="left" vertical="center" wrapText="1" indent="1"/>
    </xf>
    <xf numFmtId="164" fontId="3" fillId="2" borderId="5" pivotButton="0" quotePrefix="0" xfId="0"/>
    <xf numFmtId="0" fontId="1" fillId="2" borderId="5" pivotButton="0" quotePrefix="0" xfId="0"/>
    <xf numFmtId="0" fontId="1" fillId="0" borderId="5" pivotButton="0" quotePrefix="0" xfId="0"/>
    <xf numFmtId="0" fontId="2" fillId="3" borderId="5" applyAlignment="1" pivotButton="0" quotePrefix="0" xfId="0">
      <alignment horizontal="center" vertical="center"/>
    </xf>
    <xf numFmtId="1" fontId="5" fillId="3" borderId="5" applyAlignment="1" pivotButton="0" quotePrefix="0" xfId="0">
      <alignment horizontal="center" vertical="center"/>
    </xf>
    <xf numFmtId="1" fontId="6" fillId="3" borderId="5" applyAlignment="1" pivotButton="0" quotePrefix="0" xfId="0">
      <alignment horizontal="center" vertical="center"/>
    </xf>
    <xf numFmtId="1" fontId="7" fillId="3" borderId="5" applyAlignment="1" pivotButton="0" quotePrefix="0" xfId="0">
      <alignment horizontal="center" vertical="center"/>
    </xf>
    <xf numFmtId="1" fontId="2" fillId="3" borderId="5" applyAlignment="1" pivotButton="0" quotePrefix="0" xfId="0">
      <alignment horizontal="center" vertical="center"/>
    </xf>
    <xf numFmtId="1" fontId="8" fillId="3" borderId="5" applyAlignment="1" pivotButton="0" quotePrefix="0" xfId="0">
      <alignment horizontal="center" vertical="center"/>
    </xf>
    <xf numFmtId="0" fontId="1" fillId="3" borderId="5" pivotButton="0" quotePrefix="0" xfId="0"/>
    <xf numFmtId="0" fontId="10" fillId="4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11" fillId="4" borderId="5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" fillId="4" borderId="5" pivotButton="0" quotePrefix="0" xfId="0"/>
    <xf numFmtId="0" fontId="8" fillId="4" borderId="5" applyAlignment="1" pivotButton="0" quotePrefix="0" xfId="0">
      <alignment horizontal="center" vertical="center"/>
    </xf>
    <xf numFmtId="0" fontId="1" fillId="5" borderId="5" pivotButton="0" quotePrefix="0" xfId="0"/>
    <xf numFmtId="0" fontId="7" fillId="5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2" fillId="2" borderId="9" pivotButton="0" quotePrefix="0" xfId="0"/>
    <xf numFmtId="0" fontId="1" fillId="2" borderId="10" pivotButton="0" quotePrefix="0" xfId="0"/>
    <xf numFmtId="0" fontId="1" fillId="0" borderId="9" pivotButton="0" quotePrefix="0" xfId="0"/>
    <xf numFmtId="0" fontId="1" fillId="0" borderId="10" pivotButton="0" quotePrefix="0" xfId="0"/>
    <xf numFmtId="0" fontId="2" fillId="3" borderId="9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165" fontId="4" fillId="3" borderId="9" applyAlignment="1" pivotButton="0" quotePrefix="0" xfId="0">
      <alignment horizontal="center" vertical="center"/>
    </xf>
    <xf numFmtId="1" fontId="9" fillId="3" borderId="10" applyAlignment="1" pivotButton="0" quotePrefix="0" xfId="0">
      <alignment horizontal="center" vertical="center"/>
    </xf>
    <xf numFmtId="0" fontId="5" fillId="3" borderId="9" pivotButton="0" quotePrefix="0" xfId="0"/>
    <xf numFmtId="0" fontId="1" fillId="3" borderId="10" pivotButton="0" quotePrefix="0" xfId="0"/>
    <xf numFmtId="0" fontId="13" fillId="4" borderId="9" applyAlignment="1" pivotButton="0" quotePrefix="0" xfId="0">
      <alignment vertical="center"/>
    </xf>
    <xf numFmtId="165" fontId="4" fillId="4" borderId="10" applyAlignment="1" pivotButton="0" quotePrefix="0" xfId="0">
      <alignment horizontal="center" vertical="center"/>
    </xf>
    <xf numFmtId="0" fontId="13" fillId="5" borderId="9" applyAlignment="1" pivotButton="0" quotePrefix="0" xfId="0">
      <alignment vertical="center"/>
    </xf>
    <xf numFmtId="165" fontId="4" fillId="5" borderId="10" applyAlignment="1" pivotButton="0" quotePrefix="0" xfId="0">
      <alignment horizontal="center" vertical="center"/>
    </xf>
    <xf numFmtId="0" fontId="14" fillId="5" borderId="9" applyAlignment="1" pivotButton="0" quotePrefix="0" xfId="0">
      <alignment vertical="center"/>
    </xf>
    <xf numFmtId="0" fontId="14" fillId="4" borderId="9" applyAlignment="1" pivotButton="0" quotePrefix="0" xfId="0">
      <alignment vertical="center"/>
    </xf>
    <xf numFmtId="0" fontId="8" fillId="4" borderId="9" pivotButton="0" quotePrefix="0" xfId="0"/>
    <xf numFmtId="0" fontId="1" fillId="4" borderId="10" pivotButton="0" quotePrefix="0" xfId="0"/>
    <xf numFmtId="0" fontId="7" fillId="5" borderId="9" pivotButton="0" quotePrefix="0" xfId="0"/>
    <xf numFmtId="0" fontId="1" fillId="5" borderId="10" pivotButton="0" quotePrefix="0" xfId="0"/>
    <xf numFmtId="0" fontId="6" fillId="4" borderId="9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29" fillId="12" borderId="1" applyAlignment="1" pivotButton="0" quotePrefix="0" xfId="0">
      <alignment horizontal="left" vertical="center"/>
    </xf>
    <xf numFmtId="0" fontId="30" fillId="11" borderId="1" applyAlignment="1" pivotButton="0" quotePrefix="0" xfId="0">
      <alignment horizontal="left" vertical="center"/>
    </xf>
    <xf numFmtId="0" fontId="31" fillId="4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left" vertical="center"/>
    </xf>
    <xf numFmtId="0" fontId="31" fillId="8" borderId="1" applyAlignment="1" pivotButton="0" quotePrefix="0" xfId="0">
      <alignment horizontal="left" vertical="center"/>
    </xf>
    <xf numFmtId="0" fontId="31" fillId="8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/>
    </xf>
    <xf numFmtId="0" fontId="31" fillId="4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31" fillId="4" borderId="0" applyAlignment="1" pivotButton="0" quotePrefix="0" xfId="0">
      <alignment horizontal="left" vertical="center" wrapText="1"/>
    </xf>
    <xf numFmtId="14" fontId="18" fillId="8" borderId="1" applyAlignment="1" pivotButton="0" quotePrefix="0" xfId="0">
      <alignment horizontal="left" vertical="center"/>
    </xf>
    <xf numFmtId="14" fontId="18" fillId="4" borderId="1" applyAlignment="1" pivotButton="0" quotePrefix="0" xfId="0">
      <alignment horizontal="left" vertical="center"/>
    </xf>
    <xf numFmtId="0" fontId="18" fillId="8" borderId="2" applyAlignment="1" pivotButton="0" quotePrefix="0" xfId="0">
      <alignment horizontal="left" vertical="center" wrapText="1"/>
    </xf>
    <xf numFmtId="0" fontId="18" fillId="8" borderId="2" applyAlignment="1" pivotButton="0" quotePrefix="0" xfId="0">
      <alignment horizontal="left" vertical="center"/>
    </xf>
    <xf numFmtId="0" fontId="18" fillId="11" borderId="2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17" fillId="4" borderId="16" applyAlignment="1" pivotButton="0" quotePrefix="0" xfId="0">
      <alignment horizontal="center" vertical="center"/>
    </xf>
    <xf numFmtId="0" fontId="16" fillId="7" borderId="17" applyAlignment="1" pivotButton="0" quotePrefix="0" xfId="0">
      <alignment horizontal="center" vertical="center"/>
    </xf>
    <xf numFmtId="0" fontId="16" fillId="7" borderId="18" applyAlignment="1" pivotButton="0" quotePrefix="0" xfId="0">
      <alignment horizontal="center" vertical="center" wrapText="1"/>
    </xf>
    <xf numFmtId="0" fontId="16" fillId="7" borderId="18" applyAlignment="1" pivotButton="0" quotePrefix="0" xfId="0">
      <alignment horizontal="center" vertical="center"/>
    </xf>
    <xf numFmtId="0" fontId="34" fillId="14" borderId="1" applyAlignment="1" pivotButton="0" quotePrefix="0" xfId="0">
      <alignment horizontal="left" vertical="center"/>
    </xf>
    <xf numFmtId="0" fontId="15" fillId="6" borderId="14" applyAlignment="1" pivotButton="0" quotePrefix="0" xfId="0">
      <alignment horizontal="center" vertical="center"/>
    </xf>
    <xf numFmtId="0" fontId="15" fillId="6" borderId="15" applyAlignment="1" pivotButton="0" quotePrefix="0" xfId="0">
      <alignment horizontal="center" vertical="center"/>
    </xf>
    <xf numFmtId="0" fontId="15" fillId="6" borderId="16" applyAlignment="1" pivotButton="0" quotePrefix="0" xfId="0">
      <alignment horizontal="center" vertical="center"/>
    </xf>
    <xf numFmtId="0" fontId="33" fillId="2" borderId="6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0" fontId="33" fillId="2" borderId="8" applyAlignment="1" pivotButton="0" quotePrefix="0" xfId="0">
      <alignment horizontal="center" vertical="center"/>
    </xf>
    <xf numFmtId="0" fontId="25" fillId="6" borderId="0" applyAlignment="1" pivotButton="0" quotePrefix="0" xfId="0">
      <alignment horizontal="left" vertical="center" indent="2"/>
    </xf>
    <xf numFmtId="14" fontId="18" fillId="4" borderId="18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15" fillId="6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dxfs count="20">
    <dxf>
      <font>
        <name val="Calibri"/>
        <charset val="1"/>
        <b val="1"/>
        <color rgb="FF6D28D9"/>
        <sz val="8"/>
      </font>
      <fill>
        <patternFill>
          <bgColor rgb="FFF5F3FF"/>
        </patternFill>
      </fill>
    </dxf>
    <dxf>
      <font>
        <name val="Calibri"/>
        <charset val="1"/>
        <b val="1"/>
        <color rgb="FFB91C1C"/>
        <sz val="8"/>
      </font>
      <fill>
        <patternFill>
          <bgColor rgb="FFFEF2F2"/>
        </patternFill>
      </fill>
    </dxf>
    <dxf>
      <font>
        <name val="Calibri"/>
        <charset val="1"/>
        <b val="1"/>
        <color rgb="FF374151"/>
        <sz val="8"/>
      </font>
      <fill>
        <patternFill>
          <bgColor rgb="FFF9FAFB"/>
        </patternFill>
      </fill>
    </dxf>
    <dxf>
      <font>
        <name val="Calibri"/>
        <charset val="1"/>
        <b val="1"/>
        <color rgb="FFB45309"/>
        <sz val="8"/>
      </font>
      <fill>
        <patternFill>
          <bgColor rgb="FFFFFBEB"/>
        </patternFill>
      </fill>
    </dxf>
    <dxf>
      <font>
        <name val="Calibri"/>
        <charset val="1"/>
        <b val="1"/>
        <color rgb="FF6B7280"/>
        <sz val="8"/>
      </font>
      <fill>
        <patternFill>
          <bgColor rgb="FFF3F4F6"/>
        </patternFill>
      </fill>
    </dxf>
    <dxf>
      <font>
        <name val="Calibri"/>
        <charset val="1"/>
        <b val="1"/>
        <color rgb="FF166534"/>
        <sz val="8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8"/>
      </font>
      <fill>
        <patternFill>
          <bgColor rgb="FFFEF3C7"/>
        </patternFill>
      </fill>
    </dxf>
    <dxf>
      <font>
        <name val="Calibri"/>
        <charset val="1"/>
        <b val="1"/>
        <color rgb="FFB91C1C"/>
        <sz val="8"/>
      </font>
      <fill>
        <patternFill>
          <bgColor rgb="FFFEE2E2"/>
        </patternFill>
      </fill>
    </dxf>
    <dxf>
      <font>
        <name val="Arial"/>
        <family val="2"/>
        <strike val="0"/>
        <outline val="0"/>
        <shadow val="0"/>
        <condense val="0"/>
        <color rgb="FF212121"/>
        <extend val="0"/>
        <sz val="10"/>
        <vertAlign val="baseline"/>
      </font>
      <fill>
        <patternFill patternType="solid">
          <fgColor rgb="FFFAFAFA"/>
          <bgColor rgb="FFFFFFFF"/>
        </patternFill>
      </fill>
      <alignment horizontal="left" vertical="center"/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12121"/>
        <extend val="0"/>
        <sz val="10"/>
        <vertAlign val="baseline"/>
      </font>
      <numFmt numFmtId="19" formatCode="m/d/yyyy"/>
      <fill>
        <patternFill patternType="solid">
          <fgColor rgb="FFFAFAFA"/>
          <bgColor rgb="FFFFFFFF"/>
        </patternFill>
      </fill>
      <alignment horizontal="left" vertical="center"/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F57F17"/>
        <extend val="0"/>
        <sz val="10"/>
        <vertAlign val="baseline"/>
      </font>
      <fill>
        <patternFill patternType="solid">
          <fgColor rgb="FFFEF3C7"/>
          <bgColor rgb="FFFFF9C4"/>
        </patternFill>
      </fill>
      <alignment horizontal="left" vertical="center"/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12121"/>
        <extend val="0"/>
        <sz val="10"/>
        <vertAlign val="baseline"/>
      </font>
      <numFmt numFmtId="13" formatCode="0%"/>
      <fill>
        <patternFill patternType="solid">
          <fgColor rgb="FFF1F5F9"/>
          <bgColor rgb="FFEBF3FB"/>
        </patternFill>
      </fill>
      <alignment horizontal="center" vertical="center"/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12121"/>
        <extend val="0"/>
        <sz val="10"/>
        <vertAlign val="baseline"/>
      </font>
      <fill>
        <patternFill patternType="solid">
          <fgColor rgb="FFFEF3C7"/>
          <bgColor rgb="FFFFF9C4"/>
        </patternFill>
      </fill>
      <alignment horizontal="left" vertical="center"/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12121"/>
        <extend val="0"/>
        <sz val="10"/>
        <vertAlign val="baseline"/>
      </font>
      <fill>
        <patternFill patternType="solid">
          <fgColor rgb="FFFAFAFA"/>
          <bgColor rgb="FFFFFFFF"/>
        </patternFill>
      </fill>
      <alignment horizontal="left" vertical="center" wrapText="1"/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12121"/>
        <extend val="0"/>
        <sz val="10"/>
        <vertAlign val="baseline"/>
      </font>
      <fill>
        <patternFill patternType="solid">
          <fgColor rgb="FFFAFAFA"/>
          <bgColor rgb="FFFFFFFF"/>
        </patternFill>
      </fill>
      <alignment horizontal="left" vertical="center"/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212121"/>
        <extend val="0"/>
        <sz val="10"/>
        <vertAlign val="baseline"/>
      </font>
      <fill>
        <patternFill patternType="solid">
          <fgColor rgb="FFFAFAFA"/>
          <bgColor rgb="FFFFFFFF"/>
        </patternFill>
      </fill>
      <alignment horizontal="left" vertical="center" wrapText="1"/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757575"/>
        <extend val="0"/>
        <sz val="10"/>
        <vertAlign val="baseline"/>
      </font>
      <fill>
        <patternFill patternType="solid">
          <fgColor rgb="FFFAFAFA"/>
          <bgColor rgb="FFFFFFFF"/>
        </patternFill>
      </fill>
      <alignment horizontal="center" vertical="center"/>
      <border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left style="thin">
          <color rgb="FFBDBDBD"/>
        </left>
        <top style="thin">
          <color rgb="FFBDBDBD"/>
        </top>
      </border>
    </dxf>
    <dxf>
      <border outline="0">
        <bottom style="thin">
          <color rgb="FFBDBDBD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74151"/>
          <bgColor rgb="FF2C3E50"/>
        </patternFill>
      </fill>
      <alignment horizontal="center" vertical="center"/>
      <border outline="0">
        <left style="thin">
          <color rgb="FFBDBDBD"/>
        </left>
        <right style="thin">
          <color rgb="FFBDBDBD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AFAFA"/>
      <rgbColor rgb="FF0000FF"/>
      <rgbColor rgb="FFFFF3E0"/>
      <rgbColor rgb="FFFF00FF"/>
      <rgbColor rgb="FFF5F3FF"/>
      <rgbColor rgb="FF800000"/>
      <rgbColor rgb="FF15803D"/>
      <rgbColor rgb="FF000080"/>
      <rgbColor rgb="FF616161"/>
      <rgbColor rgb="FF6D28D9"/>
      <rgbColor rgb="FF166534"/>
      <rgbColor rgb="FFBDBDBD"/>
      <rgbColor rgb="FF757575"/>
      <rgbColor rgb="FFEBF3FB"/>
      <rgbColor rgb="FFC62828"/>
      <rgbColor rgb="FFFFF9C4"/>
      <rgbColor rgb="FFDCFCE7"/>
      <rgbColor rgb="FF374151"/>
      <rgbColor rgb="FFB45309"/>
      <rgbColor rgb="FF0563C1"/>
      <rgbColor rgb="FFD0D7E0"/>
      <rgbColor rgb="FF000080"/>
      <rgbColor rgb="FFFF00FF"/>
      <rgbColor rgb="FFFFFBEB"/>
      <rgbColor rgb="FFF8FAFC"/>
      <rgbColor rgb="FF800080"/>
      <rgbColor rgb="FF800000"/>
      <rgbColor rgb="FF475569"/>
      <rgbColor rgb="FF0000FF"/>
      <rgbColor rgb="FFF9FAFB"/>
      <rgbColor rgb="FFE8F5E9"/>
      <rgbColor rgb="FFE2E8F0"/>
      <rgbColor rgb="FFFEF3C7"/>
      <rgbColor rgb="FFCCCCCC"/>
      <rgbColor rgb="FFFEE2E2"/>
      <rgbColor rgb="FFFFEBEE"/>
      <rgbColor rgb="FFFFCDD2"/>
      <rgbColor rgb="FF1D4ED8"/>
      <rgbColor rgb="FFF5F5F5"/>
      <rgbColor rgb="FFF1F5F9"/>
      <rgbColor rgb="FFFEF2F2"/>
      <rgbColor rgb="FFF57F17"/>
      <rgbColor rgb="FFE65100"/>
      <rgbColor rgb="FF6B7280"/>
      <rgbColor rgb="FFF3F4F6"/>
      <rgbColor rgb="FF1E293B"/>
      <rgbColor rgb="FF2E7D32"/>
      <rgbColor rgb="FF0F172A"/>
      <rgbColor rgb="FF212121"/>
      <rgbColor rgb="FF92400E"/>
      <rgbColor rgb="FFB91C1C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2:J168" headerRowCount="1" totalsRowShown="0" headerRowDxfId="19" headerRowBorderDxfId="18" tableBorderDxfId="17">
  <autoFilter ref="A2:J168"/>
  <tableColumns count="10">
    <tableColumn id="1" name="#" dataDxfId="16"/>
    <tableColumn id="2" name="Machine" dataDxfId="15"/>
    <tableColumn id="3" name="Category" dataDxfId="14"/>
    <tableColumn id="4" name="Task Description" dataDxfId="13"/>
    <tableColumn id="5" name="Priority" dataDxfId="12"/>
    <tableColumn id="6" name="Progress" dataDxfId="11"/>
    <tableColumn id="7" name="Status"/>
    <tableColumn id="8" name="Responsible" dataDxfId="10"/>
    <tableColumn id="9" name="Deadline" dataDxfId="9"/>
    <tableColumn id="10" name="Remarks" dataDxfId="8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AppData/Roaming/C:/Users/DELL/AppData/Local/Packages/5319275A.WhatsAppDesktop_cv1g1gvanyjgm/LocalState/sessions/5E142AE466020DB26E5051B9DB16D8DFEDFFE8E8/transfers/2026-21/Aerosol_Plant_Tracker_v8.xlsx" TargetMode="External" Id="rId1"/><Relationship Type="http://schemas.openxmlformats.org/officeDocument/2006/relationships/table" Target="..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8" sqref="A8"/>
      <selection pane="bottomRight" activeCell="B12" sqref="B12"/>
    </sheetView>
  </sheetViews>
  <sheetFormatPr baseColWidth="8" defaultColWidth="8.85546875" defaultRowHeight="12.75"/>
  <cols>
    <col width="3" customWidth="1" style="1" min="1" max="1"/>
    <col width="26.5703125" customWidth="1" style="1" min="2" max="2"/>
    <col width="17.85546875" customWidth="1" style="1" min="3" max="3"/>
    <col width="19.85546875" customWidth="1" style="1" min="4" max="4"/>
    <col width="19.28515625" customWidth="1" style="1" min="5" max="5"/>
    <col width="18.42578125" customWidth="1" style="1" min="6" max="6"/>
    <col width="15" customWidth="1" style="1" min="7" max="7"/>
    <col width="17.7109375" customWidth="1" style="1" min="8" max="8"/>
    <col width="8.85546875" customWidth="1" style="1" min="9" max="16384"/>
  </cols>
  <sheetData>
    <row r="1" ht="36" customHeight="1">
      <c r="B1" s="103" t="inlineStr">
        <is>
          <t>AEROSOL PLANT  ·  Installation &amp; Commissioning Tracker</t>
        </is>
      </c>
      <c r="C1" s="108" t="n"/>
      <c r="D1" s="108" t="n"/>
      <c r="E1" s="108" t="n"/>
      <c r="F1" s="108" t="n"/>
      <c r="G1" s="108" t="n"/>
      <c r="H1" s="109" t="n"/>
    </row>
    <row r="2" hidden="1" ht="18" customHeight="1">
      <c r="B2" s="55" t="inlineStr">
        <is>
          <t>Last Updated</t>
        </is>
      </c>
      <c r="C2" s="32">
        <f>TODAY()</f>
        <v/>
      </c>
      <c r="D2" s="33" t="n"/>
      <c r="E2" s="33" t="n"/>
      <c r="F2" s="33" t="n"/>
      <c r="G2" s="33" t="n"/>
      <c r="H2" s="56" t="n"/>
    </row>
    <row r="3" hidden="1">
      <c r="B3" s="57" t="n"/>
      <c r="C3" s="34" t="n"/>
      <c r="D3" s="34" t="n"/>
      <c r="E3" s="34" t="n"/>
      <c r="F3" s="34" t="n"/>
      <c r="G3" s="34" t="n"/>
      <c r="H3" s="58" t="n"/>
    </row>
    <row r="4" ht="19.5" customHeight="1">
      <c r="B4" s="59" t="inlineStr">
        <is>
          <t>Overall %</t>
        </is>
      </c>
      <c r="C4" s="35" t="inlineStr">
        <is>
          <t>Total Tasks</t>
        </is>
      </c>
      <c r="D4" s="35" t="inlineStr">
        <is>
          <t>Completed</t>
        </is>
      </c>
      <c r="E4" s="35" t="inlineStr">
        <is>
          <t>In Progress</t>
        </is>
      </c>
      <c r="F4" s="35" t="inlineStr">
        <is>
          <t>Not Started</t>
        </is>
      </c>
      <c r="G4" s="35" t="inlineStr">
        <is>
          <t>Hold</t>
        </is>
      </c>
      <c r="H4" s="60" t="inlineStr">
        <is>
          <t>Pending Procurement</t>
        </is>
      </c>
    </row>
    <row r="5" ht="39.75" customHeight="1">
      <c r="B5" s="61">
        <f>IF(COUNTA(TRACKER!$B$4:$B$1002)=0, 0, AVERAGEIF(TRACKER!$B$4:$B$1002,"&lt;&gt;", TRACKER!$F$4:$F$1002))</f>
        <v/>
      </c>
      <c r="C5" s="36">
        <f>COUNTA(TRACKER!$B$4:$B$1002)</f>
        <v/>
      </c>
      <c r="D5" s="37">
        <f>COUNTIF(TRACKER!$G$4:$G$1002,"Completed")</f>
        <v/>
      </c>
      <c r="E5" s="38">
        <f>COUNTIF(TRACKER!$G$4:$G$1002,"In Progress")</f>
        <v/>
      </c>
      <c r="F5" s="39">
        <f>COUNTIF(TRACKER!$G$4:$G$1002,"Not Started")</f>
        <v/>
      </c>
      <c r="G5" s="40">
        <f>COUNTIF(TRACKER!$G$4:$G$1002,"Blocked")</f>
        <v/>
      </c>
      <c r="H5" s="62">
        <f>COUNTIF(TRACKER!$G$4:$G$1002,"Pending Procurement")</f>
        <v/>
      </c>
    </row>
    <row r="6" hidden="1">
      <c r="B6" s="57" t="n"/>
      <c r="C6" s="34" t="n"/>
      <c r="D6" s="34" t="n"/>
      <c r="E6" s="34" t="n"/>
      <c r="F6" s="34" t="n"/>
      <c r="G6" s="34" t="n"/>
      <c r="H6" s="58" t="n"/>
    </row>
    <row r="7" ht="19.5" customHeight="1">
      <c r="B7" s="63" t="inlineStr">
        <is>
          <t>MACHINE SECTIONS</t>
        </is>
      </c>
      <c r="C7" s="41" t="n"/>
      <c r="D7" s="41" t="n"/>
      <c r="E7" s="41" t="n"/>
      <c r="F7" s="41" t="n"/>
      <c r="G7" s="41" t="n"/>
      <c r="H7" s="64" t="n"/>
    </row>
    <row r="8" ht="19.5" customHeight="1">
      <c r="B8" s="59" t="inlineStr">
        <is>
          <t>Machine</t>
        </is>
      </c>
      <c r="C8" s="35" t="inlineStr">
        <is>
          <t>Elec. Pending</t>
        </is>
      </c>
      <c r="D8" s="35" t="inlineStr">
        <is>
          <t>Mech. Pending</t>
        </is>
      </c>
      <c r="E8" s="35" t="inlineStr">
        <is>
          <t>Other Pending</t>
        </is>
      </c>
      <c r="F8" s="35" t="inlineStr">
        <is>
          <t>Total Pending</t>
        </is>
      </c>
      <c r="G8" s="35" t="inlineStr">
        <is>
          <t>Completed</t>
        </is>
      </c>
      <c r="H8" s="60" t="inlineStr">
        <is>
          <t>Overall %</t>
        </is>
      </c>
    </row>
    <row r="9" ht="18" customHeight="1">
      <c r="B9" s="65">
        <f>HYPERLINK("#TRACKER!B" &amp; (MATCH("Tumbler", TRACKER!$B$4:$B$1002, 0) + 2), "⚙️ Tumbler")</f>
        <v/>
      </c>
      <c r="C9" s="42">
        <f>COUNTIFS(TRACKER!$B$4:$B$1002,"tumbler",TRACKER!$C$4:$C$1002,"Electrical",TRACKER!$G$4:$G$1002,"&lt;&gt;Completed")</f>
        <v/>
      </c>
      <c r="D9" s="42">
        <f>COUNTIFS(TRACKER!$B$4:$B$1002,"tumbler",TRACKER!$C$4:$C$1002,"Mechanical",TRACKER!$G$4:$G$1002,"&lt;&gt;Completed")</f>
        <v/>
      </c>
      <c r="E9" s="43">
        <f>COUNTIFS(TRACKER!$B$4:$B$1002,"tumbler",TRACKER!$G$4:$G$1002,"&lt;&gt;Completed")-COUNTIFS(TRACKER!$B$4:$B$1002,"tumbler",TRACKER!$C$4:$C$1002,"Electrical",TRACKER!$G$4:$G$1002,"&lt;&gt;Completed")-COUNTIFS(TRACKER!$B$4:$B$1002,"tumbler",TRACKER!$C$4:$C$1002,"Mechanical",TRACKER!$G$4:$G$1002,"&lt;&gt;Completed")</f>
        <v/>
      </c>
      <c r="F9" s="44">
        <f>COUNTIFS(TRACKER!$B$4:$B$1002,"tumbler",TRACKER!$G$4:$G$1002,"&lt;&gt;Completed")</f>
        <v/>
      </c>
      <c r="G9" s="45">
        <f>COUNTIFS(TRACKER!$B$4:$B$1002,"tumbler",TRACKER!$G$4:$G$1002,"Completed")</f>
        <v/>
      </c>
      <c r="H9" s="66">
        <f>IFERROR(AVERAGEIF(TRACKER!$B$4:$B$1002,"tumbler",TRACKER!$F$4:$F$1002),0)</f>
        <v/>
      </c>
    </row>
    <row r="10" ht="18" customHeight="1">
      <c r="B10" s="65">
        <f>HYPERLINK("#TRACKER!B" &amp; (MATCH("Press", TRACKER!$B$4:$B$1002, 0) + 2), "⚙️ Press")</f>
        <v/>
      </c>
      <c r="C10" s="42">
        <f>COUNTIFS(TRACKER!$B$4:$B$1002,"Press",TRACKER!$C$4:$C$1002,"Electrical",TRACKER!$G$4:$G$1002,"&lt;&gt;Completed")</f>
        <v/>
      </c>
      <c r="D10" s="42">
        <f>COUNTIFS(TRACKER!$B$4:$B$1002,"Press",TRACKER!$C$4:$C$1002,"Mechanical",TRACKER!$G$4:$G$1002,"&lt;&gt;Completed")</f>
        <v/>
      </c>
      <c r="E10" s="43">
        <f>COUNTIFS(TRACKER!$B$4:$B$1002,"Press",TRACKER!$G$4:$G$1002,"&lt;&gt;Completed")-COUNTIFS(TRACKER!$B$4:$B$1002,"Press",TRACKER!$C$4:$C$1002,"Electrical",TRACKER!$G$4:$G$1002,"&lt;&gt;Completed")-COUNTIFS(TRACKER!$B$4:$B$1002,"Press",TRACKER!$C$4:$C$1002,"Mechanical",TRACKER!$G$4:$G$1002,"&lt;&gt;Completed")</f>
        <v/>
      </c>
      <c r="F10" s="44">
        <f>COUNTIFS(TRACKER!$B$4:$B$1002,"Press",TRACKER!$G$4:$G$1002,"&lt;&gt;Completed")</f>
        <v/>
      </c>
      <c r="G10" s="45">
        <f>COUNTIFS(TRACKER!$B$4:$B$1002,"Press",TRACKER!$G$4:$G$1002,"Completed")</f>
        <v/>
      </c>
      <c r="H10" s="66">
        <f>IFERROR(AVERAGEIF(TRACKER!$B$4:$B$1002,"Press",TRACKER!$F$4:$F$1002),0)</f>
        <v/>
      </c>
    </row>
    <row r="11" ht="18" customHeight="1">
      <c r="B11" s="67">
        <f>HYPERLINK("#TRACKER!B" &amp; (MATCH("Trimming", TRACKER!$B$4:$B$1002, 0) + 2), "✂️ Trimming")</f>
        <v/>
      </c>
      <c r="C11" s="46">
        <f>COUNTIFS(TRACKER!$B$4:$B$1002,"Trimming",TRACKER!$C$4:$C$1002,"Electrical",TRACKER!$G$4:$G$1002,"&lt;&gt;Completed")</f>
        <v/>
      </c>
      <c r="D11" s="46">
        <f>COUNTIFS(TRACKER!$B$4:$B$1002,"Trimming",TRACKER!$C$4:$C$1002,"Mechanical",TRACKER!$G$4:$G$1002,"&lt;&gt;Completed")</f>
        <v/>
      </c>
      <c r="E11" s="47">
        <f>COUNTIFS(TRACKER!$B$4:$B$1002,"Trimming",TRACKER!$G$4:$G$1002,"&lt;&gt;Completed")-COUNTIFS(TRACKER!$B$4:$B$1002,"Trimming",TRACKER!$C$4:$C$1002,"Electrical",TRACKER!$G$4:$G$1002,"&lt;&gt;Completed")-COUNTIFS(TRACKER!$B$4:$B$1002,"Trimming",TRACKER!$C$4:$C$1002,"Mechanical",TRACKER!$G$4:$G$1002,"&lt;&gt;Completed")</f>
        <v/>
      </c>
      <c r="F11" s="48">
        <f>COUNTIFS(TRACKER!$B$4:$B$1002,"Trimming",TRACKER!$G$4:$G$1002,"&lt;&gt;Completed")</f>
        <v/>
      </c>
      <c r="G11" s="49">
        <f>COUNTIFS(TRACKER!$B$4:$B$1002,"Trimming",TRACKER!$G$4:$G$1002,"Completed")</f>
        <v/>
      </c>
      <c r="H11" s="68">
        <f>IFERROR(AVERAGEIF(TRACKER!$B$4:$B$1002,"Trimming",TRACKER!$F$4:$F$1002),0)</f>
        <v/>
      </c>
    </row>
    <row r="12" ht="18" customHeight="1">
      <c r="B12" s="65">
        <f>HYPERLINK("#TRACKER!B" &amp; (MATCH("Washing", TRACKER!$B$4:$B$1002, 0) + 2), "💧 Washing")</f>
        <v/>
      </c>
      <c r="C12" s="42">
        <f>COUNTIFS(TRACKER!$B$4:$B$1002,"Washing",TRACKER!$C$4:$C$1002,"Electrical",TRACKER!$G$4:$G$1002,"&lt;&gt;Completed")</f>
        <v/>
      </c>
      <c r="D12" s="42">
        <f>COUNTIFS(TRACKER!$B$4:$B$1002,"Washing",TRACKER!$C$4:$C$1002,"Mechanical",TRACKER!$G$4:$G$1002,"&lt;&gt;Completed")</f>
        <v/>
      </c>
      <c r="E12" s="43">
        <f>COUNTIFS(TRACKER!$B$4:$B$1002,"Washing",TRACKER!$G$4:$G$1002,"&lt;&gt;Completed")-COUNTIFS(TRACKER!$B$4:$B$1002,"Washing",TRACKER!$C$4:$C$1002,"Electrical",TRACKER!$G$4:$G$1002,"&lt;&gt;Completed")-COUNTIFS(TRACKER!$B$4:$B$1002,"Washing",TRACKER!$C$4:$C$1002,"Mechanical",TRACKER!$G$4:$G$1002,"&lt;&gt;Completed")</f>
        <v/>
      </c>
      <c r="F12" s="44">
        <f>COUNTIFS(TRACKER!$B$4:$B$1002,"Washing",TRACKER!$G$4:$G$1002,"&lt;&gt;Completed")</f>
        <v/>
      </c>
      <c r="G12" s="45">
        <f>COUNTIFS(TRACKER!$B$4:$B$1002,"Washing",TRACKER!$G$4:$G$1002,"Completed")</f>
        <v/>
      </c>
      <c r="H12" s="66">
        <f>IFERROR(AVERAGEIF(TRACKER!$B$4:$B$1002,"Washing",TRACKER!$F$4:$F$1002),0)</f>
        <v/>
      </c>
    </row>
    <row r="13" ht="18" customHeight="1">
      <c r="B13" s="67">
        <f>HYPERLINK("#TRACKER!B" &amp; (MATCH("Lacquer", TRACKER!$B$4:$B$1002, 0) + 2), "🎨 Lacquer")</f>
        <v/>
      </c>
      <c r="C13" s="46">
        <f>COUNTIFS(TRACKER!$B$4:$B$1002,"Lacquer",TRACKER!$C$4:$C$1002,"Electrical",TRACKER!$G$4:$G$1002,"&lt;&gt;Completed")</f>
        <v/>
      </c>
      <c r="D13" s="46">
        <f>COUNTIFS(TRACKER!$B$4:$B$1002,"Lacquer",TRACKER!$C$4:$C$1002,"Mechanical",TRACKER!$G$4:$G$1002,"&lt;&gt;Completed")</f>
        <v/>
      </c>
      <c r="E13" s="47">
        <f>COUNTIFS(TRACKER!$B$4:$B$1002,"Lacquer",TRACKER!$G$4:$G$1002,"&lt;&gt;Completed")-COUNTIFS(TRACKER!$B$4:$B$1002,"Lacquer",TRACKER!$C$4:$C$1002,"Electrical",TRACKER!$G$4:$G$1002,"&lt;&gt;Completed")-COUNTIFS(TRACKER!$B$4:$B$1002,"Lacquer",TRACKER!$C$4:$C$1002,"Mechanical",TRACKER!$G$4:$G$1002,"&lt;&gt;Completed")</f>
        <v/>
      </c>
      <c r="F13" s="48">
        <f>COUNTIFS(TRACKER!$B$4:$B$1002,"Lacquer",TRACKER!$G$4:$G$1002,"&lt;&gt;Completed")</f>
        <v/>
      </c>
      <c r="G13" s="49">
        <f>COUNTIFS(TRACKER!$B$4:$B$1002,"Lacquer",TRACKER!$G$4:$G$1002,"Completed")</f>
        <v/>
      </c>
      <c r="H13" s="68">
        <f>IFERROR(AVERAGEIF(TRACKER!$B$4:$B$1002,"Lacquer",TRACKER!$F$4:$F$1002),0)</f>
        <v/>
      </c>
    </row>
    <row r="14" ht="18" customHeight="1">
      <c r="B14" s="69">
        <f>HYPERLINK("#TRACKER!B" &amp; (MATCH("Accumulator", TRACKER!$B$4:$B$1002, 0) + 2), "🔄 Accumulator")</f>
        <v/>
      </c>
      <c r="C14" s="42">
        <f>COUNTIFS(TRACKER!$B$4:$B$1002,"Accumulator",TRACKER!$C$4:$C$1002,"Electrical",TRACKER!$G$4:$G$1002,"&lt;&gt;Completed")</f>
        <v/>
      </c>
      <c r="D14" s="42">
        <f>COUNTIFS(TRACKER!$B$4:$B$1002,"Accumulator",TRACKER!$C$4:$C$1002,"Mechanical",TRACKER!$G$4:$G$1002,"&lt;&gt;Completed")</f>
        <v/>
      </c>
      <c r="E14" s="43">
        <f>COUNTIFS(TRACKER!$B$4:$B$1002,"Accumulator",TRACKER!$G$4:$G$1002,"&lt;&gt;Completed")-COUNTIFS(TRACKER!$B$4:$B$1002,"Accumulator",TRACKER!$C$4:$C$1002,"Electrical",TRACKER!$G$4:$G$1002,"&lt;&gt;Completed")-COUNTIFS(TRACKER!$B$4:$B$1002,"Accumulator",TRACKER!$C$4:$C$1002,"Mechanical",TRACKER!$G$4:$G$1002,"&lt;&gt;Completed")</f>
        <v/>
      </c>
      <c r="F14" s="44">
        <f>COUNTIFS(TRACKER!$B$4:$B$1002,"Accumulator",TRACKER!$G$4:$G$1002,"&lt;&gt;Completed")</f>
        <v/>
      </c>
      <c r="G14" s="45">
        <f>COUNTIFS(TRACKER!$B$4:$B$1002,"Accumulator",TRACKER!$G$4:$G$1002,"Completed")</f>
        <v/>
      </c>
      <c r="H14" s="66">
        <f>IFERROR(AVERAGEIF(TRACKER!$B$4:$B$1002,"Accumulator",TRACKER!$F$4:$F$1002),0)</f>
        <v/>
      </c>
    </row>
    <row r="15" ht="18" customHeight="1">
      <c r="B15" s="65">
        <f>HYPERLINK("#TRACKER!B" &amp; (MATCH("Base Coat", TRACKER!$B$4:$B$1002, 0) + 2), "🖌️ Base Coat")</f>
        <v/>
      </c>
      <c r="C15" s="42">
        <f>COUNTIFS(TRACKER!$B$4:$B$1002,"Base Coat",TRACKER!$C$4:$C$1002,"Electrical",TRACKER!$G$4:$G$1002,"&lt;&gt;Completed")</f>
        <v/>
      </c>
      <c r="D15" s="42">
        <f>COUNTIFS(TRACKER!$B$4:$B$1002,"Base Coat",TRACKER!$C$4:$C$1002,"Mechanical",TRACKER!$G$4:$G$1002,"&lt;&gt;Completed")</f>
        <v/>
      </c>
      <c r="E15" s="43">
        <f>COUNTIFS(TRACKER!$B$4:$B$1002,"Base Coat",TRACKER!$G$4:$G$1002,"&lt;&gt;Completed")-COUNTIFS(TRACKER!$B$4:$B$1002,"Base Coat",TRACKER!$C$4:$C$1002,"Electrical",TRACKER!$G$4:$G$1002,"&lt;&gt;Completed")-COUNTIFS(TRACKER!$B$4:$B$1002,"Base Coat",TRACKER!$C$4:$C$1002,"Mechanical",TRACKER!$G$4:$G$1002,"&lt;&gt;Completed")</f>
        <v/>
      </c>
      <c r="F15" s="44">
        <f>COUNTIFS(TRACKER!$B$4:$B$1002,"Base Coat",TRACKER!$G$4:$G$1002,"&lt;&gt;Completed")</f>
        <v/>
      </c>
      <c r="G15" s="45">
        <f>COUNTIFS(TRACKER!$B$4:$B$1002,"Base Coat",TRACKER!$G$4:$G$1002,"Completed")</f>
        <v/>
      </c>
      <c r="H15" s="66">
        <f>IFERROR(AVERAGEIF(TRACKER!$B$4:$B$1002,"Base Coat",TRACKER!$F$4:$F$1002),0)</f>
        <v/>
      </c>
    </row>
    <row r="16" ht="18" customHeight="1">
      <c r="B16" s="67">
        <f>HYPERLINK("#TRACKER!B" &amp; (MATCH("Printing", TRACKER!$B$4:$B$1002, 0) + 2), "🖨️ Printing")</f>
        <v/>
      </c>
      <c r="C16" s="46">
        <f>COUNTIFS(TRACKER!$B$4:$B$1002,"Printing",TRACKER!$C$4:$C$1002,"Electrical",TRACKER!$G$4:$G$1002,"&lt;&gt;Completed")</f>
        <v/>
      </c>
      <c r="D16" s="46">
        <f>COUNTIFS(TRACKER!$B$4:$B$1002,"Printing",TRACKER!$C$4:$C$1002,"Mechanical",TRACKER!$G$4:$G$1002,"&lt;&gt;Completed")</f>
        <v/>
      </c>
      <c r="E16" s="47">
        <f>COUNTIFS(TRACKER!$B$4:$B$1002,"Printing",TRACKER!$G$4:$G$1002,"&lt;&gt;Completed")-COUNTIFS(TRACKER!$B$4:$B$1002,"Printing",TRACKER!$C$4:$C$1002,"Electrical",TRACKER!$G$4:$G$1002,"&lt;&gt;Completed")-COUNTIFS(TRACKER!$B$4:$B$1002,"Printing",TRACKER!$C$4:$C$1002,"Mechanical",TRACKER!$G$4:$G$1002,"&lt;&gt;Completed")</f>
        <v/>
      </c>
      <c r="F16" s="48">
        <f>COUNTIFS(TRACKER!$B$4:$B$1002,"Printing",TRACKER!$G$4:$G$1002,"&lt;&gt;Completed")</f>
        <v/>
      </c>
      <c r="G16" s="49">
        <f>COUNTIFS(TRACKER!$B$4:$B$1002,"Printing",TRACKER!$G$4:$G$1002,"Completed")</f>
        <v/>
      </c>
      <c r="H16" s="68">
        <f>IFERROR(AVERAGEIF(TRACKER!$B$4:$B$1002,"Printing",TRACKER!$F$4:$F$1002),0)</f>
        <v/>
      </c>
    </row>
    <row r="17" ht="18" customHeight="1">
      <c r="B17" s="65">
        <f>HYPERLINK("#TRACKER!B" &amp; (MATCH("Over Varnish", TRACKER!$B$4:$B$1002, 0) + 2), "✨ Over Varnish")</f>
        <v/>
      </c>
      <c r="C17" s="42">
        <f>COUNTIFS(TRACKER!$B$4:$B$1002,"Over Varnish",TRACKER!$C$4:$C$1002,"Electrical",TRACKER!$G$4:$G$1002,"&lt;&gt;Completed")</f>
        <v/>
      </c>
      <c r="D17" s="42">
        <f>COUNTIFS(TRACKER!$B$4:$B$1002,"Over Varnish",TRACKER!$C$4:$C$1002,"Mechanical",TRACKER!$G$4:$G$1002,"&lt;&gt;Completed")</f>
        <v/>
      </c>
      <c r="E17" s="43">
        <f>COUNTIFS(TRACKER!$B$4:$B$1002,"Over Varnish",TRACKER!$G$4:$G$1002,"&lt;&gt;Completed")-COUNTIFS(TRACKER!$B$4:$B$1002,"Over Varnish",TRACKER!$C$4:$C$1002,"Electrical",TRACKER!$G$4:$G$1002,"&lt;&gt;Completed")-COUNTIFS(TRACKER!$B$4:$B$1002,"Over Varnish",TRACKER!$C$4:$C$1002,"Mechanical",TRACKER!$G$4:$G$1002,"&lt;&gt;Completed")</f>
        <v/>
      </c>
      <c r="F17" s="44">
        <f>COUNTIFS(TRACKER!$B$4:$B$1002,"Over Varnish",TRACKER!$G$4:$G$1002,"&lt;&gt;Completed")</f>
        <v/>
      </c>
      <c r="G17" s="45">
        <f>COUNTIFS(TRACKER!$B$4:$B$1002,"Over Varnish",TRACKER!$G$4:$G$1002,"Completed")</f>
        <v/>
      </c>
      <c r="H17" s="66">
        <f>IFERROR(AVERAGEIF(TRACKER!$B$4:$B$1002,"Over Varnish",TRACKER!$F$4:$F$1002),0)</f>
        <v/>
      </c>
    </row>
    <row r="18" ht="18" customHeight="1">
      <c r="B18" s="70">
        <f>HYPERLINK("#TRACKER!B" &amp; (MATCH("decoration  Oven", TRACKER!$B$4:$B$1002, 0) + 2), "🔥 decoration  Oven")</f>
        <v/>
      </c>
      <c r="C18" s="42">
        <f>COUNTIFS(TRACKER!$B$4:$B$1002,"decoration  Oven",TRACKER!$C$4:$C$1002,"Electrical",TRACKER!$G$4:$G$1002,"&lt;&gt;Completed")</f>
        <v/>
      </c>
      <c r="D18" s="42">
        <f>COUNTIFS(TRACKER!$B$4:$B$1002,"decoration  Oven",TRACKER!$C$4:$C$1002,"Mechanical",TRACKER!$G$4:$G$1002,"&lt;&gt;Completed")</f>
        <v/>
      </c>
      <c r="E18" s="43">
        <f>COUNTIFS(TRACKER!$B$4:$B$1002,"decoration  Oven",TRACKER!$G$4:$G$1002,"&lt;&gt;Completed")-COUNTIFS(TRACKER!$B$4:$B$1002,"decoration  Oven",TRACKER!$C$4:$C$1002,"Electrical",TRACKER!$G$4:$G$1002,"&lt;&gt;Completed")-COUNTIFS(TRACKER!$B$4:$B$1002,"decoration  Oven",TRACKER!$C$4:$C$1002,"Mechanical",TRACKER!$G$4:$G$1002,"&lt;&gt;Completed")</f>
        <v/>
      </c>
      <c r="F18" s="44">
        <f>COUNTIFS(TRACKER!$B$4:$B$1002,"decoration  Oven",TRACKER!$G$4:$G$1002,"&lt;&gt;Completed")</f>
        <v/>
      </c>
      <c r="G18" s="45">
        <f>COUNTIFS(TRACKER!$B$4:$B$1002,"decoration  Oven",TRACKER!$G$4:$G$1002,"Completed")</f>
        <v/>
      </c>
      <c r="H18" s="66">
        <f>IFERROR(AVERAGEIF(TRACKER!$B$4:$B$1002,"decoration  Oven",TRACKER!$F$4:$F$1002),0)</f>
        <v/>
      </c>
    </row>
    <row r="19" ht="18" customHeight="1">
      <c r="B19" s="65">
        <f>HYPERLINK("#TRACKER!B" &amp; (MATCH("Necking", TRACKER!$B$4:$B$1002, 0) + 2), "🔩 Necking")</f>
        <v/>
      </c>
      <c r="C19" s="42">
        <f>COUNTIFS(TRACKER!$B$4:$B$1002,"Necking",TRACKER!$C$4:$C$1002,"Electrical",TRACKER!$G$4:$G$1002,"&lt;&gt;Completed")</f>
        <v/>
      </c>
      <c r="D19" s="42">
        <f>COUNTIFS(TRACKER!$B$4:$B$1002,"Necking",TRACKER!$C$4:$C$1002,"Mechanical",TRACKER!$G$4:$G$1002,"&lt;&gt;Completed")</f>
        <v/>
      </c>
      <c r="E19" s="43">
        <f>COUNTIFS(TRACKER!$B$4:$B$1002,"Necking",TRACKER!$G$4:$G$1002,"&lt;&gt;Completed")-COUNTIFS(TRACKER!$B$4:$B$1002,"Necking",TRACKER!$C$4:$C$1002,"Electrical",TRACKER!$G$4:$G$1002,"&lt;&gt;Completed")-COUNTIFS(TRACKER!$B$4:$B$1002,"Necking",TRACKER!$C$4:$C$1002,"Mechanical",TRACKER!$G$4:$G$1002,"&lt;&gt;Completed")</f>
        <v/>
      </c>
      <c r="F19" s="44">
        <f>COUNTIFS(TRACKER!$B$4:$B$1002,"Necking",TRACKER!$G$4:$G$1002,"&lt;&gt;Completed")</f>
        <v/>
      </c>
      <c r="G19" s="45">
        <f>COUNTIFS(TRACKER!$B$4:$B$1002,"Necking",TRACKER!$G$4:$G$1002,"Completed")</f>
        <v/>
      </c>
      <c r="H19" s="66">
        <f>IFERROR(AVERAGEIF(TRACKER!$B$4:$B$1002,"Necking",TRACKER!$F$4:$F$1002),0)</f>
        <v/>
      </c>
    </row>
    <row r="20" ht="18" customHeight="1">
      <c r="B20" s="70">
        <f>HYPERLINK("#TRACKER!B" &amp; (MATCH("Auto strapping machine", TRACKER!$B$4:$B$1002, 0) + 2), "📦 Auto strapping machine")</f>
        <v/>
      </c>
      <c r="C20" s="42">
        <f>COUNTIFS(TRACKER!$B$4:$B$1002,"Auto strapping machine",TRACKER!$C$4:$C$1002,"Electrical",TRACKER!$G$4:$G$1002,"&lt;&gt;Completed")</f>
        <v/>
      </c>
      <c r="D20" s="42">
        <f>COUNTIFS(TRACKER!$B$4:$B$1002,"Auto strapping machine",TRACKER!$C$4:$C$1002,"Mechanical",TRACKER!$G$4:$G$1002,"&lt;&gt;Completed")</f>
        <v/>
      </c>
      <c r="E20" s="43">
        <f>COUNTIFS(TRACKER!$B$4:$B$1002,"Auto strapping machine",TRACKER!$G$4:$G$1002,"&lt;&gt;Completed")-COUNTIFS(TRACKER!$B$4:$B$1002,"Auto strapping machine",TRACKER!$C$4:$C$1002,"Electrical",TRACKER!$G$4:$G$1002,"&lt;&gt;Completed")-COUNTIFS(TRACKER!$B$4:$B$1002,"Auto strapping machine",TRACKER!$C$4:$C$1002,"Mechanical",TRACKER!$G$4:$G$1002,"&lt;&gt;Completed")</f>
        <v/>
      </c>
      <c r="F20" s="44">
        <f>COUNTIFS(TRACKER!$B$4:$B$1002,"Auto strapping machine",TRACKER!$G$4:$G$1002,"&lt;&gt;Completed")</f>
        <v/>
      </c>
      <c r="G20" s="45">
        <f>COUNTIFS(TRACKER!$B$4:$B$1002,"Auto strapping machine",TRACKER!$G$4:$G$1002,"Completed")</f>
        <v/>
      </c>
      <c r="H20" s="66">
        <f>IFERROR(AVERAGEIF(TRACKER!$B$4:$B$1002,"Auto strapping machine",TRACKER!$F$4:$F$1002),0)</f>
        <v/>
      </c>
    </row>
    <row r="21" ht="18" customHeight="1">
      <c r="B21" s="70">
        <f>HYPERLINK("#TRACKER!B" &amp; (MATCH("Manual Strapping Machine", TRACKER!$B$4:$B$1002, 0) + 2), "📦 Manual strapping machine")</f>
        <v/>
      </c>
      <c r="C21" s="42">
        <f>COUNTIFS(TRACKER!$B$4:$B$1002,"Manual Strapping Machine",TRACKER!$C$4:$C$1002,"Electrical",TRACKER!$G$4:$G$1002,"&lt;&gt;Completed")</f>
        <v/>
      </c>
      <c r="D21" s="42">
        <f>COUNTIFS(TRACKER!$B$4:$B$1002,"Manual Strapping Machine",TRACKER!$C$4:$C$1002,"Mechanical",TRACKER!$G$4:$G$1002,"&lt;&gt;Completed")</f>
        <v/>
      </c>
      <c r="E21" s="43">
        <f>COUNTIFS(TRACKER!$B$4:$B$1002,"Manual Strapping Machine",TRACKER!$G$4:$G$1002,"&lt;&gt;Completed")-COUNTIFS(TRACKER!$B$4:$B$1002,"Manual Strapping Machine",TRACKER!$C$4:$C$1002,"Electrical",TRACKER!$G$4:$G$1002,"&lt;&gt;Completed")-COUNTIFS(TRACKER!$B$4:$B$1002,"Manual Strapping Machine",TRACKER!$C$4:$C$1002,"Mechanical",TRACKER!$G$4:$G$1002,"&lt;&gt;Completed")</f>
        <v/>
      </c>
      <c r="F21" s="44">
        <f>COUNTIFS(TRACKER!$B$4:$B$1002,"Manual Strapping Machine",TRACKER!$G$4:$G$1002,"&lt;&gt;Completed")</f>
        <v/>
      </c>
      <c r="G21" s="45">
        <f>COUNTIFS(TRACKER!$B$4:$B$1002,"Manual Strapping Machine",TRACKER!$G$4:$G$1002,"Completed")</f>
        <v/>
      </c>
      <c r="H21" s="66">
        <f>IFERROR(AVERAGEIF(TRACKER!$B$4:$B$1002,"Manual Strapping Machine",TRACKER!$F$4:$F$1002),0)</f>
        <v/>
      </c>
    </row>
    <row r="22" ht="18" customHeight="1">
      <c r="B22" s="65">
        <f>HYPERLINK("#TRACKER!B" &amp; (MATCH("Compressor", TRACKER!$B$4:$B$1002, 0) + 2), "💨 Compressor")</f>
        <v/>
      </c>
      <c r="C22" s="42">
        <f>COUNTIFS(TRACKER!$B$4:$B$1002,"Compressor",TRACKER!$C$4:$C$1002,"Electrical",TRACKER!$G$4:$G$1002,"&lt;&gt;Completed")</f>
        <v/>
      </c>
      <c r="D22" s="42">
        <f>COUNTIFS(TRACKER!$B$4:$B$1002,"Compressor",TRACKER!$C$4:$C$1002,"Mechanical",TRACKER!$G$4:$G$1002,"&lt;&gt;Completed")</f>
        <v/>
      </c>
      <c r="E22" s="43">
        <f>COUNTIFS(TRACKER!$B$4:$B$1002,"Compressor",TRACKER!$G$4:$G$1002,"&lt;&gt;Completed")-COUNTIFS(TRACKER!$B$4:$B$1002,"Compressor",TRACKER!$C$4:$C$1002,"Electrical",TRACKER!$G$4:$G$1002,"&lt;&gt;Completed")-COUNTIFS(TRACKER!$B$4:$B$1002,"Compressor",TRACKER!$C$4:$C$1002,"Mechanical",TRACKER!$G$4:$G$1002,"&lt;&gt;Completed")</f>
        <v/>
      </c>
      <c r="F22" s="44">
        <f>COUNTIFS(TRACKER!$B$4:$B$1002,"Compressor",TRACKER!$G$4:$G$1002,"&lt;&gt;Completed")</f>
        <v/>
      </c>
      <c r="G22" s="45">
        <f>COUNTIFS(TRACKER!$B$4:$B$1002,"Compressor",TRACKER!$G$4:$G$1002,"Completed")</f>
        <v/>
      </c>
      <c r="H22" s="66">
        <f>IFERROR(AVERAGEIF(TRACKER!$B$4:$B$1002,"Compressor",TRACKER!$F$4:$F$1002),0)</f>
        <v/>
      </c>
    </row>
    <row r="23" ht="18" customHeight="1">
      <c r="B23" s="65">
        <f>HYPERLINK("#TRACKER!B" &amp; (MATCH("Main Power Distribution", TRACKER!$B$4:$B$1002, 0) + 2), "⚡ Main Power Distribution")</f>
        <v/>
      </c>
      <c r="C23" s="42">
        <f>COUNTIFS(TRACKER!$B$4:$B$1002,"Main Power Distribution",TRACKER!$C$4:$C$1002,"Electrical",TRACKER!$G$4:$G$1002,"&lt;&gt;Completed")</f>
        <v/>
      </c>
      <c r="D23" s="42">
        <f>COUNTIFS(TRACKER!$B$4:$B$1002,"Main Power Distribution",TRACKER!$C$4:$C$1002,"Mechanical",TRACKER!$G$4:$G$1002,"&lt;&gt;Completed")</f>
        <v/>
      </c>
      <c r="E23" s="43">
        <f>COUNTIFS(TRACKER!$B$4:$B$1002,"Main Power Distribution",TRACKER!$G$4:$G$1002,"&lt;&gt;Completed")-COUNTIFS(TRACKER!$B$4:$B$1002,"Main Power Distribution",TRACKER!$C$4:$C$1002,"Electrical",TRACKER!$G$4:$G$1002,"&lt;&gt;Completed")-COUNTIFS(TRACKER!$B$4:$B$1002,"Main Power Distribution",TRACKER!$C$4:$C$1002,"Mechanical",TRACKER!$G$4:$G$1002,"&lt;&gt;Completed")</f>
        <v/>
      </c>
      <c r="F23" s="44">
        <f>COUNTIFS(TRACKER!$B$4:$B$1002,"Main Power Distribution",TRACKER!$G$4:$G$1002,"&lt;&gt;Completed")</f>
        <v/>
      </c>
      <c r="G23" s="45">
        <f>COUNTIFS(TRACKER!$B$4:$B$1002,"Main Power Distribution",TRACKER!$G$4:$G$1002,"Completed")</f>
        <v/>
      </c>
      <c r="H23" s="66">
        <f>IFERROR(AVERAGEIF(TRACKER!$B$4:$B$1002,"Main Power Distribution",TRACKER!$F$4:$F$1002),0)</f>
        <v/>
      </c>
    </row>
    <row r="24">
      <c r="B24" s="67">
        <f>HYPERLINK("#TRACKER!B" &amp; (MATCH("General", TRACKER!$B$4:$B$1002, 0) + 2), "📋 General")</f>
        <v/>
      </c>
      <c r="C24" s="46">
        <f>COUNTIFS(TRACKER!$B$4:$B$1002,"General",TRACKER!$C$4:$C$1002,"Electrical",TRACKER!$G$4:$G$1002,"&lt;&gt;Completed")</f>
        <v/>
      </c>
      <c r="D24" s="46">
        <f>COUNTIFS(TRACKER!$B$4:$B$1002,"General",TRACKER!$C$4:$C$1002,"Mechanical",TRACKER!$G$4:$G$1002,"&lt;&gt;Completed")</f>
        <v/>
      </c>
      <c r="E24" s="47">
        <f>COUNTIFS(TRACKER!$B$4:$B$1002,"General",TRACKER!$G$4:$G$1002,"&lt;&gt;Completed")-COUNTIFS(TRACKER!$B$4:$B$1002,"General",TRACKER!$C$4:$C$1002,"Electrical",TRACKER!$G$4:$G$1002,"&lt;&gt;Completed")-COUNTIFS(TRACKER!$B$4:$B$1002,"General",TRACKER!$C$4:$C$1002,"Mechanical",TRACKER!$G$4:$G$1002,"&lt;&gt;Completed")</f>
        <v/>
      </c>
      <c r="F24" s="48">
        <f>COUNTIFS(TRACKER!$B$4:$B$1002,"General",TRACKER!$G$4:$G$1002,"&lt;&gt;Completed")</f>
        <v/>
      </c>
      <c r="G24" s="49">
        <f>COUNTIFS(TRACKER!$B$4:$B$1002,"General",TRACKER!$G$4:$G$1002,"Completed")</f>
        <v/>
      </c>
      <c r="H24" s="68">
        <f>IFERROR(AVERAGEIF(TRACKER!$B$4:$B$1002,"General",TRACKER!$F$4:$F$1002),0)</f>
        <v/>
      </c>
    </row>
    <row r="25" ht="19.5" customHeight="1">
      <c r="B25" s="57" t="n"/>
      <c r="C25" s="34" t="n"/>
      <c r="D25" s="34" t="n"/>
      <c r="E25" s="34" t="n"/>
      <c r="F25" s="34" t="n"/>
      <c r="G25" s="34" t="n"/>
      <c r="H25" s="58" t="n"/>
    </row>
    <row r="26" ht="18" customHeight="1">
      <c r="B26" s="63" t="inlineStr">
        <is>
          <t>PENDING BY PRIORITY</t>
        </is>
      </c>
      <c r="C26" s="41" t="n"/>
      <c r="D26" s="41" t="n"/>
      <c r="E26" s="41" t="n"/>
      <c r="F26" s="41" t="n"/>
      <c r="G26" s="41" t="n"/>
      <c r="H26" s="64" t="n"/>
    </row>
    <row r="27" ht="18" customHeight="1">
      <c r="B27" s="71" t="inlineStr">
        <is>
          <t>High Priority</t>
        </is>
      </c>
      <c r="C27" s="50" t="n"/>
      <c r="D27" s="50" t="n"/>
      <c r="E27" s="50" t="n"/>
      <c r="F27" s="51">
        <f>COUNTIFS(TRACKER!$E$4:$E$1002,"High",TRACKER!$G$4:$G$1002,"&lt;&gt;Completed")</f>
        <v/>
      </c>
      <c r="G27" s="50" t="n"/>
      <c r="H27" s="72" t="n"/>
    </row>
    <row r="28" ht="18" customHeight="1">
      <c r="B28" s="73" t="inlineStr">
        <is>
          <t>Medium Priority</t>
        </is>
      </c>
      <c r="C28" s="52" t="n"/>
      <c r="D28" s="52" t="n"/>
      <c r="E28" s="52" t="n"/>
      <c r="F28" s="53">
        <f>COUNTIFS(TRACKER!$E$4:$E$1002,"Medium",TRACKER!$G$4:$G$1002,"&lt;&gt;Completed")</f>
        <v/>
      </c>
      <c r="G28" s="52" t="n"/>
      <c r="H28" s="74" t="n"/>
    </row>
    <row r="29" ht="13.5" customHeight="1" thickBot="1">
      <c r="B29" s="75" t="inlineStr">
        <is>
          <t>Low Priority</t>
        </is>
      </c>
      <c r="C29" s="50" t="n"/>
      <c r="D29" s="50" t="n"/>
      <c r="E29" s="50" t="n"/>
      <c r="F29" s="54">
        <f>COUNTIFS(TRACKER!$E$4:$E$1002,"Low",TRACKER!$G$4:$G$1002,"&lt;&gt;Completed")</f>
        <v/>
      </c>
      <c r="G29" s="50" t="n"/>
      <c r="H29" s="72" t="n"/>
    </row>
    <row r="30" ht="19.5" customHeight="1">
      <c r="B30" s="76" t="n"/>
      <c r="C30" s="77" t="n"/>
      <c r="D30" s="77" t="n"/>
      <c r="E30" s="77" t="n"/>
      <c r="F30" s="77" t="n"/>
      <c r="G30" s="77" t="n"/>
      <c r="H30" s="78" t="n"/>
    </row>
    <row r="31" ht="18" customHeight="1">
      <c r="B31" s="3" t="inlineStr">
        <is>
          <t>STATUS REFERENCE</t>
        </is>
      </c>
      <c r="C31" s="4" t="n"/>
      <c r="D31" s="4" t="n"/>
      <c r="E31" s="4" t="n"/>
      <c r="F31" s="4" t="n"/>
      <c r="G31" s="4" t="n"/>
      <c r="H31" s="4" t="n"/>
    </row>
    <row r="32">
      <c r="B32" s="5" t="inlineStr">
        <is>
          <t>In Progress</t>
        </is>
      </c>
      <c r="C32" s="2" t="inlineStr">
        <is>
          <t>Not Started</t>
        </is>
      </c>
      <c r="D32" s="6" t="inlineStr">
        <is>
          <t>Blocked</t>
        </is>
      </c>
      <c r="E32" s="7" t="inlineStr">
        <is>
          <t>Completed</t>
        </is>
      </c>
      <c r="F32" s="8" t="inlineStr">
        <is>
          <t>Pending Procurement</t>
        </is>
      </c>
    </row>
  </sheetData>
  <mergeCells count="1">
    <mergeCell ref="B1:H1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0" tabSelected="1" zoomScaleNormal="100" workbookViewId="0">
      <pane xSplit="3" ySplit="2" topLeftCell="D129" activePane="bottomRight" state="frozen"/>
      <selection pane="topRight" activeCell="D1" sqref="D1"/>
      <selection pane="bottomLeft" activeCell="A3" sqref="A3"/>
      <selection pane="bottomRight" activeCell="J135" sqref="J135"/>
    </sheetView>
  </sheetViews>
  <sheetFormatPr baseColWidth="8" defaultColWidth="8.7109375" defaultRowHeight="15"/>
  <cols>
    <col width="6.42578125" customWidth="1" min="1" max="1"/>
    <col width="16.85546875" customWidth="1" style="87" min="2" max="2"/>
    <col width="13.42578125" customWidth="1" min="3" max="3"/>
    <col width="51.28515625" bestFit="1" customWidth="1" min="4" max="4"/>
    <col width="11.85546875" customWidth="1" min="5" max="5"/>
    <col width="13.42578125" customWidth="1" min="6" max="6"/>
    <col width="14.28515625" bestFit="1" customWidth="1" min="7" max="7"/>
    <col width="16.140625" customWidth="1" min="8" max="8"/>
    <col width="13.7109375" bestFit="1" customWidth="1" min="9" max="9"/>
    <col width="47.42578125" bestFit="1" customWidth="1" min="10" max="10"/>
  </cols>
  <sheetData>
    <row r="1" ht="16.5" customHeight="1">
      <c r="A1" s="110" t="inlineStr">
        <is>
          <t>AEROSOL PLANT  ·  INSTALLATION TRACKER</t>
        </is>
      </c>
      <c r="B1" s="111" t="n"/>
      <c r="C1" s="111" t="n"/>
      <c r="D1" s="111" t="n"/>
      <c r="E1" s="111" t="n"/>
      <c r="F1" s="111" t="n"/>
      <c r="G1" s="111" t="n"/>
      <c r="H1" s="111" t="n"/>
      <c r="I1" s="112" t="n"/>
      <c r="J1" s="9" t="inlineStr">
        <is>
          <t>← Dashboard</t>
        </is>
      </c>
    </row>
    <row r="2">
      <c r="A2" s="96" t="inlineStr">
        <is>
          <t>#</t>
        </is>
      </c>
      <c r="B2" s="97" t="inlineStr">
        <is>
          <t>Machine</t>
        </is>
      </c>
      <c r="C2" s="98" t="inlineStr">
        <is>
          <t>Category</t>
        </is>
      </c>
      <c r="D2" s="98" t="inlineStr">
        <is>
          <t>Task Description</t>
        </is>
      </c>
      <c r="E2" s="98" t="inlineStr">
        <is>
          <t>Priority</t>
        </is>
      </c>
      <c r="F2" s="98" t="inlineStr">
        <is>
          <t>Progress</t>
        </is>
      </c>
      <c r="G2" s="98" t="inlineStr">
        <is>
          <t>Status</t>
        </is>
      </c>
      <c r="H2" s="98" t="inlineStr">
        <is>
          <t>Responsible</t>
        </is>
      </c>
      <c r="I2" s="98" t="inlineStr">
        <is>
          <t>Deadline</t>
        </is>
      </c>
      <c r="J2" s="98" t="inlineStr">
        <is>
          <t>Remarks</t>
        </is>
      </c>
    </row>
    <row r="3">
      <c r="A3" s="95" t="n">
        <v>1</v>
      </c>
      <c r="B3" s="11" t="inlineStr">
        <is>
          <t>Accumulator</t>
        </is>
      </c>
      <c r="C3" s="83" t="inlineStr">
        <is>
          <t>Electrical</t>
        </is>
      </c>
      <c r="D3" s="84" t="inlineStr">
        <is>
          <t>Dry run</t>
        </is>
      </c>
      <c r="E3" s="85" t="inlineStr">
        <is>
          <t>High</t>
        </is>
      </c>
      <c r="F3" s="13" t="n">
        <v>0</v>
      </c>
      <c r="G3" s="82" t="inlineStr">
        <is>
          <t>Not Started</t>
        </is>
      </c>
      <c r="H3" s="15" t="inlineStr">
        <is>
          <t>Arsalan</t>
        </is>
      </c>
      <c r="I3" s="107" t="n"/>
      <c r="J3" s="83" t="inlineStr">
        <is>
          <t>on machine testing</t>
        </is>
      </c>
    </row>
    <row r="4">
      <c r="A4" s="95" t="n">
        <v>2</v>
      </c>
      <c r="B4" s="11" t="inlineStr">
        <is>
          <t>Accumulator</t>
        </is>
      </c>
      <c r="C4" s="10" t="inlineStr">
        <is>
          <t>Mechanical</t>
        </is>
      </c>
      <c r="D4" s="11" t="inlineStr">
        <is>
          <t>chain &amp; bearing greasing</t>
        </is>
      </c>
      <c r="E4" s="12" t="inlineStr">
        <is>
          <t>Medium</t>
        </is>
      </c>
      <c r="F4" s="13" t="n">
        <v>0.5</v>
      </c>
      <c r="G4" s="14" t="inlineStr">
        <is>
          <t>In Progress</t>
        </is>
      </c>
      <c r="H4" s="15" t="inlineStr">
        <is>
          <t>Arsalan</t>
        </is>
      </c>
      <c r="I4" s="10" t="n"/>
      <c r="J4" s="10" t="n"/>
    </row>
    <row r="5" ht="25.5" customHeight="1">
      <c r="A5" s="95" t="n">
        <v>3</v>
      </c>
      <c r="B5" s="17" t="inlineStr">
        <is>
          <t>Auto strapping machine</t>
        </is>
      </c>
      <c r="C5" s="16" t="inlineStr">
        <is>
          <t>Mechanical</t>
        </is>
      </c>
      <c r="D5" s="17" t="inlineStr">
        <is>
          <t>to place and install at designated location</t>
        </is>
      </c>
      <c r="E5" s="12" t="inlineStr">
        <is>
          <t>Medium</t>
        </is>
      </c>
      <c r="F5" s="13" t="n">
        <v>0</v>
      </c>
      <c r="G5" s="18" t="inlineStr">
        <is>
          <t>Not Started</t>
        </is>
      </c>
      <c r="H5" s="15" t="inlineStr">
        <is>
          <t>Arsalan</t>
        </is>
      </c>
      <c r="I5" s="16" t="n"/>
      <c r="J5" s="16" t="n"/>
    </row>
    <row r="6" ht="25.5" customHeight="1">
      <c r="A6" s="95" t="n">
        <v>4</v>
      </c>
      <c r="B6" s="17" t="inlineStr">
        <is>
          <t>Auto strapping machine</t>
        </is>
      </c>
      <c r="C6" s="16" t="inlineStr">
        <is>
          <t>Mechanical</t>
        </is>
      </c>
      <c r="D6" s="17" t="inlineStr">
        <is>
          <t>Dry run</t>
        </is>
      </c>
      <c r="E6" s="12" t="inlineStr">
        <is>
          <t>Low</t>
        </is>
      </c>
      <c r="F6" s="13" t="n">
        <v>0</v>
      </c>
      <c r="G6" s="18" t="inlineStr">
        <is>
          <t>Not Started</t>
        </is>
      </c>
      <c r="H6" s="15" t="inlineStr">
        <is>
          <t>Arsalan</t>
        </is>
      </c>
      <c r="I6" s="16" t="n"/>
      <c r="J6" s="16" t="n"/>
    </row>
    <row r="7" ht="25.5" customHeight="1">
      <c r="A7" s="95" t="n">
        <v>5</v>
      </c>
      <c r="B7" s="11" t="inlineStr">
        <is>
          <t>Auto strapping machine</t>
        </is>
      </c>
      <c r="C7" s="10" t="inlineStr">
        <is>
          <t>Electrical</t>
        </is>
      </c>
      <c r="D7" s="11" t="inlineStr">
        <is>
          <t>wiring and connections to be done</t>
        </is>
      </c>
      <c r="E7" s="19" t="inlineStr">
        <is>
          <t>Medium</t>
        </is>
      </c>
      <c r="F7" s="13" t="n">
        <v>0</v>
      </c>
      <c r="G7" s="18" t="inlineStr">
        <is>
          <t>Not Started</t>
        </is>
      </c>
      <c r="H7" s="15" t="inlineStr">
        <is>
          <t>Arsalan</t>
        </is>
      </c>
      <c r="I7" s="10" t="n"/>
      <c r="J7" s="10" t="n"/>
    </row>
    <row r="8">
      <c r="A8" s="95" t="n">
        <v>6</v>
      </c>
      <c r="B8" s="17" t="inlineStr">
        <is>
          <t>Lacquer</t>
        </is>
      </c>
      <c r="C8" s="16" t="inlineStr">
        <is>
          <t>Electrical</t>
        </is>
      </c>
      <c r="D8" s="17" t="inlineStr">
        <is>
          <t>All heaters — check, fix or replace faulty</t>
        </is>
      </c>
      <c r="E8" s="20" t="inlineStr">
        <is>
          <t>High</t>
        </is>
      </c>
      <c r="F8" s="13" t="n">
        <v>1</v>
      </c>
      <c r="G8" s="18" t="inlineStr">
        <is>
          <t>Completed</t>
        </is>
      </c>
      <c r="H8" s="15" t="inlineStr">
        <is>
          <t>Arsalan</t>
        </is>
      </c>
      <c r="I8" s="90" t="n">
        <v>46157</v>
      </c>
      <c r="J8" s="16" t="n"/>
    </row>
    <row r="9">
      <c r="A9" s="95" t="n">
        <v>7</v>
      </c>
      <c r="B9" s="17" t="inlineStr">
        <is>
          <t>Press</t>
        </is>
      </c>
      <c r="C9" s="16" t="inlineStr">
        <is>
          <t>Mechanical</t>
        </is>
      </c>
      <c r="D9" s="17" t="inlineStr">
        <is>
          <t>Press &amp; Trimming compressor temporary line fixed</t>
        </is>
      </c>
      <c r="E9" s="20" t="inlineStr">
        <is>
          <t>High</t>
        </is>
      </c>
      <c r="F9" s="13" t="n">
        <v>1</v>
      </c>
      <c r="G9" s="18" t="inlineStr">
        <is>
          <t>Completed</t>
        </is>
      </c>
      <c r="H9" s="15" t="inlineStr">
        <is>
          <t>Arsalan</t>
        </is>
      </c>
      <c r="I9" s="89" t="n">
        <v>46158</v>
      </c>
      <c r="J9" s="16" t="n"/>
    </row>
    <row r="10">
      <c r="A10" s="95" t="n">
        <v>8</v>
      </c>
      <c r="B10" s="17" t="inlineStr">
        <is>
          <t>Lacquer</t>
        </is>
      </c>
      <c r="C10" s="16" t="inlineStr">
        <is>
          <t>Electrical</t>
        </is>
      </c>
      <c r="D10" s="17" t="inlineStr">
        <is>
          <t>Blower main motor connection and testing</t>
        </is>
      </c>
      <c r="E10" s="12" t="inlineStr">
        <is>
          <t>High</t>
        </is>
      </c>
      <c r="F10" s="13" t="n">
        <v>1</v>
      </c>
      <c r="G10" s="18" t="inlineStr">
        <is>
          <t>Completed</t>
        </is>
      </c>
      <c r="H10" s="15" t="inlineStr">
        <is>
          <t>Arsalan</t>
        </is>
      </c>
      <c r="I10" s="90" t="n">
        <v>46183</v>
      </c>
      <c r="J10" s="16" t="n"/>
    </row>
    <row r="11">
      <c r="A11" s="95" t="n">
        <v>9</v>
      </c>
      <c r="B11" s="11" t="inlineStr">
        <is>
          <t>Lacquer</t>
        </is>
      </c>
      <c r="C11" s="10" t="inlineStr">
        <is>
          <t>Mechanical</t>
        </is>
      </c>
      <c r="D11" s="11" t="inlineStr">
        <is>
          <t>Spray Guns — cleaned with thinner</t>
        </is>
      </c>
      <c r="E11" s="19" t="inlineStr">
        <is>
          <t>High</t>
        </is>
      </c>
      <c r="F11" s="13" t="n">
        <v>1</v>
      </c>
      <c r="G11" s="18" t="inlineStr">
        <is>
          <t>Completed</t>
        </is>
      </c>
      <c r="H11" s="80" t="inlineStr">
        <is>
          <t>Saqib</t>
        </is>
      </c>
      <c r="I11" s="90" t="n">
        <v>46183</v>
      </c>
      <c r="J11" s="10" t="n"/>
    </row>
    <row r="12">
      <c r="A12" s="95" t="n">
        <v>10</v>
      </c>
      <c r="B12" s="17" t="inlineStr">
        <is>
          <t>Lacquer</t>
        </is>
      </c>
      <c r="C12" s="16" t="inlineStr">
        <is>
          <t>Mechanical</t>
        </is>
      </c>
      <c r="D12" s="17" t="inlineStr">
        <is>
          <t>Spray Mount Drum — scraped &amp; cleaned</t>
        </is>
      </c>
      <c r="E12" s="19" t="inlineStr">
        <is>
          <t>High</t>
        </is>
      </c>
      <c r="F12" s="13" t="n">
        <v>1</v>
      </c>
      <c r="G12" s="18" t="inlineStr">
        <is>
          <t>Completed</t>
        </is>
      </c>
      <c r="H12" s="80" t="inlineStr">
        <is>
          <t>Saqib</t>
        </is>
      </c>
      <c r="I12" s="90" t="n">
        <v>46183</v>
      </c>
      <c r="J12" s="16" t="n"/>
    </row>
    <row r="13">
      <c r="A13" s="95" t="n">
        <v>11</v>
      </c>
      <c r="B13" s="11" t="inlineStr">
        <is>
          <t>Lacquer</t>
        </is>
      </c>
      <c r="C13" s="10" t="inlineStr">
        <is>
          <t>Mechanical</t>
        </is>
      </c>
      <c r="D13" s="11" t="inlineStr">
        <is>
          <t>Mandrel Plate — scraped &amp; cleaned</t>
        </is>
      </c>
      <c r="E13" s="12" t="inlineStr">
        <is>
          <t>Medium</t>
        </is>
      </c>
      <c r="F13" s="13" t="n">
        <v>1</v>
      </c>
      <c r="G13" s="79" t="inlineStr">
        <is>
          <t>Completed</t>
        </is>
      </c>
      <c r="H13" s="80" t="inlineStr">
        <is>
          <t>Saqib</t>
        </is>
      </c>
      <c r="I13" s="90" t="n">
        <v>46183</v>
      </c>
      <c r="J13" s="10" t="n"/>
    </row>
    <row r="14">
      <c r="A14" s="95" t="n">
        <v>12</v>
      </c>
      <c r="B14" s="17" t="inlineStr">
        <is>
          <t>Lacquer</t>
        </is>
      </c>
      <c r="C14" s="16" t="inlineStr">
        <is>
          <t>Mechanical</t>
        </is>
      </c>
      <c r="D14" s="17" t="inlineStr">
        <is>
          <t>Exhaust Sieve — cleaned</t>
        </is>
      </c>
      <c r="E14" s="19" t="inlineStr">
        <is>
          <t>Medium</t>
        </is>
      </c>
      <c r="F14" s="13" t="n">
        <v>1</v>
      </c>
      <c r="G14" s="79" t="inlineStr">
        <is>
          <t>Completed</t>
        </is>
      </c>
      <c r="H14" s="80" t="inlineStr">
        <is>
          <t>Saqib</t>
        </is>
      </c>
      <c r="I14" s="90" t="n">
        <v>46183</v>
      </c>
      <c r="J14" s="16" t="n"/>
    </row>
    <row r="15">
      <c r="A15" s="95" t="n">
        <v>13</v>
      </c>
      <c r="B15" s="11" t="inlineStr">
        <is>
          <t>Lacquer</t>
        </is>
      </c>
      <c r="C15" s="10" t="inlineStr">
        <is>
          <t>Mechanical</t>
        </is>
      </c>
      <c r="D15" s="11" t="inlineStr">
        <is>
          <t>Frame Body — cleaned</t>
        </is>
      </c>
      <c r="E15" s="20" t="inlineStr">
        <is>
          <t>Medium</t>
        </is>
      </c>
      <c r="F15" s="13" t="n">
        <v>1</v>
      </c>
      <c r="G15" s="79" t="inlineStr">
        <is>
          <t>Completed</t>
        </is>
      </c>
      <c r="H15" s="80" t="inlineStr">
        <is>
          <t>Saqib</t>
        </is>
      </c>
      <c r="I15" s="90" t="n">
        <v>46183</v>
      </c>
      <c r="J15" s="10" t="n"/>
    </row>
    <row r="16">
      <c r="A16" s="95" t="n">
        <v>14</v>
      </c>
      <c r="B16" s="17" t="inlineStr">
        <is>
          <t>Lacquer</t>
        </is>
      </c>
      <c r="C16" s="16" t="inlineStr">
        <is>
          <t>Mechanical</t>
        </is>
      </c>
      <c r="D16" s="17" t="inlineStr">
        <is>
          <t>Oven Chain cleaning</t>
        </is>
      </c>
      <c r="E16" s="19" t="inlineStr">
        <is>
          <t>Medium</t>
        </is>
      </c>
      <c r="F16" s="13" t="n">
        <v>1</v>
      </c>
      <c r="G16" s="79" t="inlineStr">
        <is>
          <t>Completed</t>
        </is>
      </c>
      <c r="H16" s="80" t="inlineStr">
        <is>
          <t>Saqib</t>
        </is>
      </c>
      <c r="I16" s="90" t="n">
        <v>46183</v>
      </c>
      <c r="J16" s="16" t="n"/>
    </row>
    <row r="17">
      <c r="A17" s="95" t="n">
        <v>15</v>
      </c>
      <c r="B17" s="11" t="inlineStr">
        <is>
          <t>Washing</t>
        </is>
      </c>
      <c r="C17" s="10" t="inlineStr">
        <is>
          <t>Mechanical</t>
        </is>
      </c>
      <c r="D17" s="11" t="inlineStr">
        <is>
          <t>chain installation</t>
        </is>
      </c>
      <c r="E17" s="19" t="inlineStr">
        <is>
          <t>High</t>
        </is>
      </c>
      <c r="F17" s="13" t="n">
        <v>1</v>
      </c>
      <c r="G17" s="80" t="inlineStr">
        <is>
          <t>Completed</t>
        </is>
      </c>
      <c r="H17" s="15" t="inlineStr">
        <is>
          <t>Arsalan</t>
        </is>
      </c>
      <c r="I17" s="90" t="n">
        <v>46184</v>
      </c>
      <c r="J17" s="10" t="n"/>
    </row>
    <row r="18">
      <c r="A18" s="95" t="n">
        <v>16</v>
      </c>
      <c r="B18" s="11" t="inlineStr">
        <is>
          <t>Compressor</t>
        </is>
      </c>
      <c r="C18" s="10" t="inlineStr">
        <is>
          <t>Electrical</t>
        </is>
      </c>
      <c r="D18" s="11" t="inlineStr">
        <is>
          <t>Compressor  dryer and auto drain electrical connection</t>
        </is>
      </c>
      <c r="E18" s="20" t="inlineStr">
        <is>
          <t>High</t>
        </is>
      </c>
      <c r="F18" s="13" t="n">
        <v>1</v>
      </c>
      <c r="G18" s="79" t="inlineStr">
        <is>
          <t>Completed</t>
        </is>
      </c>
      <c r="H18" s="15" t="inlineStr">
        <is>
          <t>Arsalan</t>
        </is>
      </c>
      <c r="I18" s="10" t="n"/>
      <c r="J18" s="10" t="n"/>
    </row>
    <row r="19">
      <c r="A19" s="95" t="n">
        <v>17</v>
      </c>
      <c r="B19" s="11" t="inlineStr">
        <is>
          <t>Compressor</t>
        </is>
      </c>
      <c r="C19" s="10" t="inlineStr">
        <is>
          <t>Mechanical</t>
        </is>
      </c>
      <c r="D19" s="11" t="inlineStr">
        <is>
          <t>Compressor piping — dryer and auto drain system</t>
        </is>
      </c>
      <c r="E19" s="20" t="inlineStr">
        <is>
          <t>High</t>
        </is>
      </c>
      <c r="F19" s="13" t="n">
        <v>1</v>
      </c>
      <c r="G19" s="79" t="inlineStr">
        <is>
          <t>Completed</t>
        </is>
      </c>
      <c r="H19" s="15" t="inlineStr">
        <is>
          <t>Arsalan</t>
        </is>
      </c>
      <c r="I19" s="10" t="n"/>
      <c r="J19" s="10" t="n"/>
    </row>
    <row r="20">
      <c r="A20" s="95" t="n">
        <v>18</v>
      </c>
      <c r="B20" s="17" t="inlineStr">
        <is>
          <t>Compressor</t>
        </is>
      </c>
      <c r="C20" s="16" t="inlineStr">
        <is>
          <t>Mechanical</t>
        </is>
      </c>
      <c r="D20" s="17" t="inlineStr">
        <is>
          <t>main pipe to be elevated downward for smooth drainage</t>
        </is>
      </c>
      <c r="E20" s="20" t="inlineStr">
        <is>
          <t>Medium</t>
        </is>
      </c>
      <c r="F20" s="13" t="n">
        <v>0</v>
      </c>
      <c r="G20" s="18" t="inlineStr">
        <is>
          <t>Not Started</t>
        </is>
      </c>
      <c r="H20" s="15" t="inlineStr">
        <is>
          <t>Arsalan</t>
        </is>
      </c>
      <c r="I20" s="16" t="n"/>
      <c r="J20" s="16" t="n"/>
    </row>
    <row r="21" ht="25.5" customHeight="1">
      <c r="A21" s="95" t="n">
        <v>19</v>
      </c>
      <c r="B21" s="17" t="inlineStr">
        <is>
          <t>Compressor</t>
        </is>
      </c>
      <c r="C21" s="16" t="inlineStr">
        <is>
          <t>Mechanical</t>
        </is>
      </c>
      <c r="D21" s="17" t="inlineStr">
        <is>
          <t>individual section pipes/ branches to be supported/fixed/welded</t>
        </is>
      </c>
      <c r="E21" s="20" t="inlineStr">
        <is>
          <t>Medium</t>
        </is>
      </c>
      <c r="F21" s="13" t="n">
        <v>0</v>
      </c>
      <c r="G21" s="18" t="inlineStr">
        <is>
          <t>Not Started</t>
        </is>
      </c>
      <c r="H21" s="15" t="inlineStr">
        <is>
          <t>Arsalan</t>
        </is>
      </c>
      <c r="I21" s="16" t="n"/>
      <c r="J21" s="16" t="n"/>
    </row>
    <row r="22">
      <c r="A22" s="95" t="n">
        <v>20</v>
      </c>
      <c r="B22" s="11" t="inlineStr">
        <is>
          <t>Compressor</t>
        </is>
      </c>
      <c r="C22" s="10" t="inlineStr">
        <is>
          <t>Electrical</t>
        </is>
      </c>
      <c r="D22" s="11" t="inlineStr">
        <is>
          <t>dryer wiring and connection to be done.</t>
        </is>
      </c>
      <c r="E22" s="20" t="inlineStr">
        <is>
          <t>High</t>
        </is>
      </c>
      <c r="F22" s="13" t="n">
        <v>1</v>
      </c>
      <c r="G22" s="79" t="inlineStr">
        <is>
          <t>Completed</t>
        </is>
      </c>
      <c r="H22" s="15" t="inlineStr">
        <is>
          <t>Arsalan</t>
        </is>
      </c>
      <c r="I22" s="10" t="n"/>
      <c r="J22" s="10" t="n"/>
    </row>
    <row r="23">
      <c r="A23" s="95" t="n">
        <v>21</v>
      </c>
      <c r="B23" s="11" t="inlineStr">
        <is>
          <t>decoration  Oven</t>
        </is>
      </c>
      <c r="C23" s="10" t="inlineStr">
        <is>
          <t>Electrical</t>
        </is>
      </c>
      <c r="D23" s="11" t="inlineStr">
        <is>
          <t>Heaters to be checked and replaced if required</t>
        </is>
      </c>
      <c r="E23" s="21" t="inlineStr">
        <is>
          <t>High</t>
        </is>
      </c>
      <c r="F23" s="13" t="n">
        <v>0</v>
      </c>
      <c r="G23" s="79" t="inlineStr">
        <is>
          <t>Not Started</t>
        </is>
      </c>
      <c r="H23" s="15" t="inlineStr">
        <is>
          <t>Arsalan</t>
        </is>
      </c>
      <c r="I23" s="90" t="n"/>
      <c r="J23" s="10" t="inlineStr">
        <is>
          <t>sample needed for ordering</t>
        </is>
      </c>
    </row>
    <row r="24">
      <c r="A24" s="95" t="n">
        <v>22</v>
      </c>
      <c r="B24" s="11" t="inlineStr">
        <is>
          <t>decoration  Oven</t>
        </is>
      </c>
      <c r="C24" s="10" t="inlineStr">
        <is>
          <t>Electrical</t>
        </is>
      </c>
      <c r="D24" s="11" t="inlineStr">
        <is>
          <t>Blower motor connection and testing</t>
        </is>
      </c>
      <c r="E24" s="21" t="inlineStr">
        <is>
          <t>High</t>
        </is>
      </c>
      <c r="F24" s="13" t="n">
        <v>1</v>
      </c>
      <c r="G24" s="18" t="inlineStr">
        <is>
          <t>Completed</t>
        </is>
      </c>
      <c r="H24" s="15" t="inlineStr">
        <is>
          <t>Arsalan</t>
        </is>
      </c>
      <c r="I24" s="10" t="n"/>
      <c r="J24" s="10" t="n"/>
    </row>
    <row r="25">
      <c r="A25" s="95" t="n">
        <v>23</v>
      </c>
      <c r="B25" s="11" t="inlineStr">
        <is>
          <t>decoration  Oven</t>
        </is>
      </c>
      <c r="C25" s="10" t="inlineStr">
        <is>
          <t>Electrical</t>
        </is>
      </c>
      <c r="D25" s="11" t="inlineStr">
        <is>
          <t>temperature gauges to be checked &amp; installed</t>
        </is>
      </c>
      <c r="E25" s="21" t="inlineStr">
        <is>
          <t>High</t>
        </is>
      </c>
      <c r="F25" s="13" t="n">
        <v>0</v>
      </c>
      <c r="G25" s="79" t="inlineStr">
        <is>
          <t>Not Started</t>
        </is>
      </c>
      <c r="H25" s="15" t="inlineStr">
        <is>
          <t>Arsalan</t>
        </is>
      </c>
      <c r="I25" s="10" t="n"/>
      <c r="J25" s="10" t="n"/>
    </row>
    <row r="26">
      <c r="A26" s="95" t="n">
        <v>24</v>
      </c>
      <c r="B26" s="11" t="inlineStr">
        <is>
          <t>decoration  Oven</t>
        </is>
      </c>
      <c r="C26" s="10" t="inlineStr">
        <is>
          <t>General</t>
        </is>
      </c>
      <c r="D26" s="11" t="inlineStr">
        <is>
          <t>Oven Dry run</t>
        </is>
      </c>
      <c r="E26" s="21" t="inlineStr">
        <is>
          <t>High</t>
        </is>
      </c>
      <c r="F26" s="13" t="n">
        <v>0</v>
      </c>
      <c r="G26" s="18" t="inlineStr">
        <is>
          <t>Not Started</t>
        </is>
      </c>
      <c r="H26" s="15" t="inlineStr">
        <is>
          <t>Arsalan</t>
        </is>
      </c>
      <c r="I26" s="90" t="n"/>
      <c r="J26" s="10" t="inlineStr">
        <is>
          <t>Cleaning in progress &amp; Heater testing in progress</t>
        </is>
      </c>
    </row>
    <row r="27">
      <c r="A27" s="95" t="n">
        <v>25</v>
      </c>
      <c r="B27" s="11" t="inlineStr">
        <is>
          <t>decoration  Oven</t>
        </is>
      </c>
      <c r="C27" s="16" t="inlineStr">
        <is>
          <t>Mechanical</t>
        </is>
      </c>
      <c r="D27" s="17" t="inlineStr">
        <is>
          <t>Motors alignment w.r.t marking</t>
        </is>
      </c>
      <c r="E27" s="21" t="inlineStr">
        <is>
          <t>High</t>
        </is>
      </c>
      <c r="F27" s="13" t="n">
        <v>1</v>
      </c>
      <c r="G27" s="18" t="inlineStr">
        <is>
          <t>Completed</t>
        </is>
      </c>
      <c r="H27" s="15" t="inlineStr">
        <is>
          <t>Arsalan</t>
        </is>
      </c>
      <c r="I27" s="90" t="n"/>
      <c r="J27" s="16" t="inlineStr">
        <is>
          <t>Khalid Shb observations</t>
        </is>
      </c>
    </row>
    <row r="28" ht="25.5" customHeight="1">
      <c r="A28" s="95" t="n">
        <v>26</v>
      </c>
      <c r="B28" s="17" t="inlineStr">
        <is>
          <t>FG Conveyor</t>
        </is>
      </c>
      <c r="C28" s="16" t="inlineStr">
        <is>
          <t>Mechanical</t>
        </is>
      </c>
      <c r="D28" s="17" t="inlineStr">
        <is>
          <t>Realignment of conveyor to be done as per Lindsay recommendation</t>
        </is>
      </c>
      <c r="E28" s="12" t="inlineStr">
        <is>
          <t>Medium</t>
        </is>
      </c>
      <c r="F28" s="13" t="n">
        <v>0</v>
      </c>
      <c r="G28" s="18" t="inlineStr">
        <is>
          <t>Not Started</t>
        </is>
      </c>
      <c r="H28" s="15" t="inlineStr">
        <is>
          <t>Arsalan</t>
        </is>
      </c>
      <c r="I28" s="16" t="n"/>
      <c r="J28" s="16" t="n"/>
    </row>
    <row r="29">
      <c r="A29" s="95" t="n">
        <v>27</v>
      </c>
      <c r="B29" s="11" t="inlineStr">
        <is>
          <t>FG Conveyor</t>
        </is>
      </c>
      <c r="C29" s="10" t="inlineStr">
        <is>
          <t>Electrical</t>
        </is>
      </c>
      <c r="D29" s="11" t="inlineStr">
        <is>
          <t>connection/wiring to be done</t>
        </is>
      </c>
      <c r="E29" s="12" t="inlineStr">
        <is>
          <t>Medium</t>
        </is>
      </c>
      <c r="F29" s="13" t="n">
        <v>0</v>
      </c>
      <c r="G29" s="18" t="inlineStr">
        <is>
          <t>Not Started</t>
        </is>
      </c>
      <c r="H29" s="15" t="inlineStr">
        <is>
          <t>Arsalan</t>
        </is>
      </c>
      <c r="I29" s="10" t="n"/>
      <c r="J29" s="10" t="n"/>
    </row>
    <row r="30">
      <c r="A30" s="95" t="n">
        <v>28</v>
      </c>
      <c r="B30" s="11" t="inlineStr">
        <is>
          <t>General</t>
        </is>
      </c>
      <c r="C30" s="10" t="inlineStr">
        <is>
          <t>General</t>
        </is>
      </c>
      <c r="D30" s="11" t="inlineStr">
        <is>
          <t xml:space="preserve">Machine Operating Manuals </t>
        </is>
      </c>
      <c r="E30" s="20" t="inlineStr">
        <is>
          <t>Medium</t>
        </is>
      </c>
      <c r="F30" s="13" t="n">
        <v>0.1</v>
      </c>
      <c r="G30" s="18" t="inlineStr">
        <is>
          <t>In Progress</t>
        </is>
      </c>
      <c r="H30" s="15" t="inlineStr">
        <is>
          <t>Saqib</t>
        </is>
      </c>
      <c r="I30" s="10" t="n"/>
      <c r="J30" s="10" t="n"/>
    </row>
    <row r="31">
      <c r="A31" s="95" t="n">
        <v>29</v>
      </c>
      <c r="B31" s="11" t="inlineStr">
        <is>
          <t>General</t>
        </is>
      </c>
      <c r="C31" s="10" t="inlineStr">
        <is>
          <t>General</t>
        </is>
      </c>
      <c r="D31" s="11" t="inlineStr">
        <is>
          <t>Overall machine paint</t>
        </is>
      </c>
      <c r="E31" s="20" t="inlineStr">
        <is>
          <t>Medium</t>
        </is>
      </c>
      <c r="F31" s="13" t="n">
        <v>0</v>
      </c>
      <c r="G31" s="18" t="inlineStr">
        <is>
          <t>Not Started</t>
        </is>
      </c>
      <c r="H31" s="15" t="inlineStr">
        <is>
          <t>Saqib</t>
        </is>
      </c>
      <c r="I31" s="10" t="n"/>
      <c r="J31" s="10" t="n"/>
    </row>
    <row r="32" ht="25.5" customHeight="1">
      <c r="A32" s="95" t="n">
        <v>30</v>
      </c>
      <c r="B32" s="17" t="inlineStr">
        <is>
          <t>General</t>
        </is>
      </c>
      <c r="C32" s="16" t="inlineStr">
        <is>
          <t>Mechanical</t>
        </is>
      </c>
      <c r="D32" s="17" t="inlineStr">
        <is>
          <t>Modify exhaust duct pipes — prevent rainwater entry bends installation</t>
        </is>
      </c>
      <c r="E32" s="20" t="inlineStr">
        <is>
          <t>Medium</t>
        </is>
      </c>
      <c r="F32" s="13" t="n">
        <v>1</v>
      </c>
      <c r="G32" s="18" t="inlineStr">
        <is>
          <t>Completed</t>
        </is>
      </c>
      <c r="H32" s="15" t="inlineStr">
        <is>
          <t>Saqib</t>
        </is>
      </c>
      <c r="I32" s="16" t="n"/>
      <c r="J32" s="16" t="n"/>
    </row>
    <row r="33">
      <c r="A33" s="95" t="n">
        <v>31</v>
      </c>
      <c r="B33" s="17" t="inlineStr">
        <is>
          <t>General</t>
        </is>
      </c>
      <c r="C33" s="16" t="inlineStr">
        <is>
          <t>Mechanical</t>
        </is>
      </c>
      <c r="D33" s="17" t="inlineStr">
        <is>
          <t>Test each machine individually without load</t>
        </is>
      </c>
      <c r="E33" s="20" t="inlineStr">
        <is>
          <t>Medium</t>
        </is>
      </c>
      <c r="F33" s="13" t="n">
        <v>0.5</v>
      </c>
      <c r="G33" s="18" t="inlineStr">
        <is>
          <t>In Progress</t>
        </is>
      </c>
      <c r="H33" s="15" t="inlineStr">
        <is>
          <t>Arsalan</t>
        </is>
      </c>
      <c r="I33" s="90" t="n"/>
      <c r="J33" s="16" t="n"/>
    </row>
    <row r="34">
      <c r="A34" s="95" t="n">
        <v>32</v>
      </c>
      <c r="B34" s="11" t="inlineStr">
        <is>
          <t>General</t>
        </is>
      </c>
      <c r="C34" s="10" t="inlineStr">
        <is>
          <t>General</t>
        </is>
      </c>
      <c r="D34" s="11" t="inlineStr">
        <is>
          <t>Ensure proper cleaning of entire machine</t>
        </is>
      </c>
      <c r="E34" s="20" t="inlineStr">
        <is>
          <t>Medium</t>
        </is>
      </c>
      <c r="F34" s="13" t="n">
        <v>0.4</v>
      </c>
      <c r="G34" s="79" t="inlineStr">
        <is>
          <t>In Progress</t>
        </is>
      </c>
      <c r="H34" s="15" t="inlineStr">
        <is>
          <t>Saqib</t>
        </is>
      </c>
      <c r="I34" s="10" t="n"/>
      <c r="J34" s="10" t="n"/>
    </row>
    <row r="35">
      <c r="A35" s="95" t="n">
        <v>33</v>
      </c>
      <c r="B35" s="17" t="inlineStr">
        <is>
          <t>General</t>
        </is>
      </c>
      <c r="C35" s="16" t="inlineStr">
        <is>
          <t>Mechanical</t>
        </is>
      </c>
      <c r="D35" s="17" t="inlineStr">
        <is>
          <t>Scoop required for slug handling</t>
        </is>
      </c>
      <c r="E35" s="20" t="inlineStr">
        <is>
          <t>Medium</t>
        </is>
      </c>
      <c r="F35" s="13" t="n">
        <v>0</v>
      </c>
      <c r="G35" s="79" t="inlineStr">
        <is>
          <t>In Progress</t>
        </is>
      </c>
      <c r="H35" s="15" t="inlineStr">
        <is>
          <t>Saqib</t>
        </is>
      </c>
      <c r="I35" s="16" t="n"/>
      <c r="J35" s="16" t="n"/>
    </row>
    <row r="36">
      <c r="A36" s="95" t="n">
        <v>34</v>
      </c>
      <c r="B36" s="11" t="inlineStr">
        <is>
          <t>General</t>
        </is>
      </c>
      <c r="C36" s="10" t="inlineStr">
        <is>
          <t>Mechanical</t>
        </is>
      </c>
      <c r="D36" s="11" t="inlineStr">
        <is>
          <t xml:space="preserve">Baling machine procurement </t>
        </is>
      </c>
      <c r="E36" s="20" t="inlineStr">
        <is>
          <t>Medium</t>
        </is>
      </c>
      <c r="F36" s="13" t="n">
        <v>0</v>
      </c>
      <c r="G36" s="18" t="inlineStr">
        <is>
          <t>Pending Procurement</t>
        </is>
      </c>
      <c r="H36" s="15" t="inlineStr">
        <is>
          <t>Saqib</t>
        </is>
      </c>
      <c r="I36" s="16" t="n"/>
      <c r="J36" s="10" t="n"/>
    </row>
    <row r="37">
      <c r="A37" s="95" t="n">
        <v>35</v>
      </c>
      <c r="B37" s="17" t="inlineStr">
        <is>
          <t>General</t>
        </is>
      </c>
      <c r="C37" s="16" t="inlineStr">
        <is>
          <t>Mechanical</t>
        </is>
      </c>
      <c r="D37" s="17" t="inlineStr">
        <is>
          <t>scrap collector container to be made/procured for trimming</t>
        </is>
      </c>
      <c r="E37" s="20" t="inlineStr">
        <is>
          <t>Medium</t>
        </is>
      </c>
      <c r="F37" s="13" t="n">
        <v>0</v>
      </c>
      <c r="G37" s="15" t="inlineStr">
        <is>
          <t>Not Started</t>
        </is>
      </c>
      <c r="H37" s="15" t="inlineStr">
        <is>
          <t>Saqib</t>
        </is>
      </c>
      <c r="I37" s="16" t="n"/>
      <c r="J37" s="16" t="n"/>
    </row>
    <row r="38">
      <c r="A38" s="95" t="n">
        <v>36</v>
      </c>
      <c r="B38" s="17" t="inlineStr">
        <is>
          <t>General</t>
        </is>
      </c>
      <c r="C38" s="16" t="inlineStr">
        <is>
          <t>Electrical</t>
        </is>
      </c>
      <c r="D38" s="17" t="inlineStr">
        <is>
          <t>White LED lighting for printing and oven area</t>
        </is>
      </c>
      <c r="E38" s="12" t="inlineStr">
        <is>
          <t>Medium</t>
        </is>
      </c>
      <c r="F38" s="13" t="n">
        <v>0</v>
      </c>
      <c r="G38" s="14" t="inlineStr">
        <is>
          <t>Not Started</t>
        </is>
      </c>
      <c r="H38" s="15" t="inlineStr">
        <is>
          <t>Saqib</t>
        </is>
      </c>
      <c r="I38" s="16" t="n"/>
      <c r="J38" s="16" t="n"/>
    </row>
    <row r="39">
      <c r="A39" s="95" t="n">
        <v>37</v>
      </c>
      <c r="B39" s="17" t="inlineStr">
        <is>
          <t>General</t>
        </is>
      </c>
      <c r="C39" s="16" t="inlineStr">
        <is>
          <t>General</t>
        </is>
      </c>
      <c r="D39" s="17" t="inlineStr">
        <is>
          <t>Make stands for all spare rolls</t>
        </is>
      </c>
      <c r="E39" s="20" t="inlineStr">
        <is>
          <t>Medium</t>
        </is>
      </c>
      <c r="F39" s="13" t="n">
        <v>0</v>
      </c>
      <c r="G39" s="18" t="inlineStr">
        <is>
          <t>Not Started</t>
        </is>
      </c>
      <c r="H39" s="15" t="inlineStr">
        <is>
          <t>Saqib</t>
        </is>
      </c>
      <c r="I39" s="16" t="n"/>
      <c r="J39" s="16" t="n"/>
    </row>
    <row r="40">
      <c r="A40" s="95" t="n">
        <v>38</v>
      </c>
      <c r="B40" s="11" t="inlineStr">
        <is>
          <t>General</t>
        </is>
      </c>
      <c r="C40" s="10" t="inlineStr">
        <is>
          <t>General</t>
        </is>
      </c>
      <c r="D40" s="11" t="inlineStr">
        <is>
          <t>Full operator toolset &amp; tool trolley system</t>
        </is>
      </c>
      <c r="E40" s="20" t="inlineStr">
        <is>
          <t>Medium</t>
        </is>
      </c>
      <c r="F40" s="13" t="n">
        <v>0</v>
      </c>
      <c r="G40" s="18" t="inlineStr">
        <is>
          <t>Not Started</t>
        </is>
      </c>
      <c r="H40" s="15" t="inlineStr">
        <is>
          <t>Saqib</t>
        </is>
      </c>
      <c r="I40" s="10" t="n"/>
      <c r="J40" s="10" t="n"/>
    </row>
    <row r="41">
      <c r="A41" s="95" t="n">
        <v>39</v>
      </c>
      <c r="B41" s="17" t="inlineStr">
        <is>
          <t>General</t>
        </is>
      </c>
      <c r="C41" s="16" t="inlineStr">
        <is>
          <t>General</t>
        </is>
      </c>
      <c r="D41" s="17" t="inlineStr">
        <is>
          <t>Lab equipment to be sourced</t>
        </is>
      </c>
      <c r="E41" s="20" t="inlineStr">
        <is>
          <t>Medium</t>
        </is>
      </c>
      <c r="F41" s="13" t="n">
        <v>0</v>
      </c>
      <c r="G41" s="18" t="inlineStr">
        <is>
          <t>Not Started</t>
        </is>
      </c>
      <c r="H41" s="15" t="inlineStr">
        <is>
          <t>Saqib</t>
        </is>
      </c>
      <c r="I41" s="16" t="n"/>
      <c r="J41" s="16" t="n"/>
    </row>
    <row r="42">
      <c r="A42" s="95" t="n">
        <v>40</v>
      </c>
      <c r="B42" s="17" t="inlineStr">
        <is>
          <t>General</t>
        </is>
      </c>
      <c r="C42" s="16" t="inlineStr">
        <is>
          <t>General</t>
        </is>
      </c>
      <c r="D42" s="17" t="inlineStr">
        <is>
          <t>Dust bins for office areas</t>
        </is>
      </c>
      <c r="E42" s="20" t="inlineStr">
        <is>
          <t>Medium</t>
        </is>
      </c>
      <c r="F42" s="13" t="n">
        <v>1</v>
      </c>
      <c r="G42" s="79" t="inlineStr">
        <is>
          <t>Completed</t>
        </is>
      </c>
      <c r="H42" s="15" t="inlineStr">
        <is>
          <t>Saqib</t>
        </is>
      </c>
      <c r="I42" s="16" t="n"/>
      <c r="J42" s="16" t="n"/>
    </row>
    <row r="43">
      <c r="A43" s="95" t="n">
        <v>41</v>
      </c>
      <c r="B43" s="11" t="inlineStr">
        <is>
          <t>General</t>
        </is>
      </c>
      <c r="C43" s="10" t="inlineStr">
        <is>
          <t>General</t>
        </is>
      </c>
      <c r="D43" s="11" t="inlineStr">
        <is>
          <t>Big cartons for temporary storage of cans</t>
        </is>
      </c>
      <c r="E43" s="20" t="inlineStr">
        <is>
          <t>Medium</t>
        </is>
      </c>
      <c r="F43" s="13" t="n">
        <v>0.5</v>
      </c>
      <c r="G43" s="79" t="inlineStr">
        <is>
          <t>In Progress</t>
        </is>
      </c>
      <c r="H43" s="15" t="inlineStr">
        <is>
          <t>Saqib</t>
        </is>
      </c>
      <c r="I43" s="10" t="n"/>
      <c r="J43" s="10" t="n"/>
    </row>
    <row r="44">
      <c r="A44" s="95" t="n">
        <v>42</v>
      </c>
      <c r="B44" s="17" t="inlineStr">
        <is>
          <t>General</t>
        </is>
      </c>
      <c r="C44" s="16" t="inlineStr">
        <is>
          <t>General</t>
        </is>
      </c>
      <c r="D44" s="17" t="inlineStr">
        <is>
          <t>Boxes / Bins for cans packing (Alpha Container)</t>
        </is>
      </c>
      <c r="E44" s="20" t="inlineStr">
        <is>
          <t>Medium</t>
        </is>
      </c>
      <c r="F44" s="13" t="n">
        <v>0</v>
      </c>
      <c r="G44" s="22" t="inlineStr">
        <is>
          <t>Not Started</t>
        </is>
      </c>
      <c r="H44" s="15" t="inlineStr">
        <is>
          <t>Saqib</t>
        </is>
      </c>
      <c r="I44" s="16" t="n"/>
      <c r="J44" s="16" t="n"/>
    </row>
    <row r="45">
      <c r="A45" s="95" t="n">
        <v>43</v>
      </c>
      <c r="B45" s="11" t="inlineStr">
        <is>
          <t>General</t>
        </is>
      </c>
      <c r="C45" s="10" t="inlineStr">
        <is>
          <t>Electrical</t>
        </is>
      </c>
      <c r="D45" s="11" t="inlineStr">
        <is>
          <t>Transformer load increase to 625 kW — utility application</t>
        </is>
      </c>
      <c r="E45" s="20" t="inlineStr">
        <is>
          <t>High</t>
        </is>
      </c>
      <c r="F45" s="13" t="n">
        <v>0</v>
      </c>
      <c r="G45" s="79" t="inlineStr">
        <is>
          <t>Not Started</t>
        </is>
      </c>
      <c r="H45" s="15" t="inlineStr">
        <is>
          <t>Saqib</t>
        </is>
      </c>
      <c r="I45" s="90" t="n"/>
      <c r="J45" s="10" t="inlineStr">
        <is>
          <t>Application in process</t>
        </is>
      </c>
    </row>
    <row r="46">
      <c r="A46" s="95" t="n">
        <v>44</v>
      </c>
      <c r="B46" s="17" t="inlineStr">
        <is>
          <t>General</t>
        </is>
      </c>
      <c r="C46" s="16" t="inlineStr">
        <is>
          <t>Electrical</t>
        </is>
      </c>
      <c r="D46" s="17" t="inlineStr">
        <is>
          <t>Ensure all exhaust fans on floor are operational</t>
        </is>
      </c>
      <c r="E46" s="20" t="inlineStr">
        <is>
          <t>High</t>
        </is>
      </c>
      <c r="F46" s="13" t="n">
        <v>0.7</v>
      </c>
      <c r="G46" s="79" t="inlineStr">
        <is>
          <t>In Progress</t>
        </is>
      </c>
      <c r="H46" s="15" t="inlineStr">
        <is>
          <t>Saqib</t>
        </is>
      </c>
      <c r="I46" s="90" t="n"/>
      <c r="J46" s="86" t="inlineStr">
        <is>
          <t>partially operational</t>
        </is>
      </c>
    </row>
    <row r="47">
      <c r="A47" s="95" t="n">
        <v>45</v>
      </c>
      <c r="B47" s="17" t="inlineStr">
        <is>
          <t>General</t>
        </is>
      </c>
      <c r="C47" s="16" t="inlineStr">
        <is>
          <t>Mechanical</t>
        </is>
      </c>
      <c r="D47" s="17" t="inlineStr">
        <is>
          <t xml:space="preserve">Operator's Platform </t>
        </is>
      </c>
      <c r="E47" s="20" t="inlineStr">
        <is>
          <t>Medium</t>
        </is>
      </c>
      <c r="F47" s="13" t="n">
        <v>0</v>
      </c>
      <c r="G47" s="79" t="inlineStr">
        <is>
          <t>In Progress</t>
        </is>
      </c>
      <c r="H47" s="15" t="inlineStr">
        <is>
          <t>Saqib</t>
        </is>
      </c>
      <c r="I47" s="90" t="n"/>
      <c r="J47" s="16" t="inlineStr">
        <is>
          <t>new to be ordered</t>
        </is>
      </c>
    </row>
    <row r="48">
      <c r="A48" s="95" t="n">
        <v>46</v>
      </c>
      <c r="B48" s="11" t="inlineStr">
        <is>
          <t>Lacquer</t>
        </is>
      </c>
      <c r="C48" s="10" t="inlineStr">
        <is>
          <t>General</t>
        </is>
      </c>
      <c r="D48" s="11" t="inlineStr">
        <is>
          <t>Internal Lacquering Dry run</t>
        </is>
      </c>
      <c r="E48" s="20" t="inlineStr">
        <is>
          <t>High</t>
        </is>
      </c>
      <c r="F48" s="13" t="n">
        <v>1</v>
      </c>
      <c r="G48" s="82" t="inlineStr">
        <is>
          <t>Completed</t>
        </is>
      </c>
      <c r="H48" s="15" t="inlineStr">
        <is>
          <t>Arsalan</t>
        </is>
      </c>
      <c r="I48" s="90" t="n">
        <v>46188</v>
      </c>
      <c r="J48" s="10" t="n"/>
    </row>
    <row r="49">
      <c r="A49" s="95" t="n">
        <v>47</v>
      </c>
      <c r="B49" s="11" t="inlineStr">
        <is>
          <t>Lacquer</t>
        </is>
      </c>
      <c r="C49" s="10" t="inlineStr">
        <is>
          <t>Mechanical</t>
        </is>
      </c>
      <c r="D49" s="11" t="inlineStr">
        <is>
          <t>lacquer Storage vessel installation with pneumatic fittings</t>
        </is>
      </c>
      <c r="E49" s="20" t="inlineStr">
        <is>
          <t>Medium</t>
        </is>
      </c>
      <c r="F49" s="13" t="n">
        <v>0.2</v>
      </c>
      <c r="G49" s="82" t="inlineStr">
        <is>
          <t>In Progress</t>
        </is>
      </c>
      <c r="H49" s="15" t="inlineStr">
        <is>
          <t>Saqib</t>
        </is>
      </c>
      <c r="I49" s="90" t="n">
        <v>46188</v>
      </c>
      <c r="J49" s="10" t="n"/>
    </row>
    <row r="50">
      <c r="A50" s="95" t="n">
        <v>48</v>
      </c>
      <c r="B50" s="17" t="inlineStr">
        <is>
          <t>Lacquer</t>
        </is>
      </c>
      <c r="C50" s="16" t="inlineStr">
        <is>
          <t>Mechanical</t>
        </is>
      </c>
      <c r="D50" s="17" t="inlineStr">
        <is>
          <t>fixing  can holders after cleaning</t>
        </is>
      </c>
      <c r="E50" s="20" t="inlineStr">
        <is>
          <t>Medium</t>
        </is>
      </c>
      <c r="F50" s="13" t="n">
        <v>1</v>
      </c>
      <c r="G50" s="82" t="inlineStr">
        <is>
          <t>Completed</t>
        </is>
      </c>
      <c r="H50" s="15" t="inlineStr">
        <is>
          <t>Arsalan</t>
        </is>
      </c>
      <c r="I50" s="90" t="n">
        <v>46188</v>
      </c>
      <c r="J50" s="16" t="n"/>
    </row>
    <row r="51">
      <c r="A51" s="95" t="n">
        <v>49</v>
      </c>
      <c r="B51" s="11" t="inlineStr">
        <is>
          <t>Lacquer</t>
        </is>
      </c>
      <c r="C51" s="10" t="inlineStr">
        <is>
          <t>Mechanical</t>
        </is>
      </c>
      <c r="D51" s="11" t="inlineStr">
        <is>
          <t>Cans Holders — dismantled, clean with thinner</t>
        </is>
      </c>
      <c r="E51" s="12" t="inlineStr">
        <is>
          <t>Medium</t>
        </is>
      </c>
      <c r="F51" s="13" t="n">
        <v>1</v>
      </c>
      <c r="G51" s="80" t="inlineStr">
        <is>
          <t>Completed</t>
        </is>
      </c>
      <c r="H51" s="15" t="inlineStr">
        <is>
          <t>Saqib</t>
        </is>
      </c>
      <c r="I51" s="90" t="n">
        <v>46188</v>
      </c>
      <c r="J51" s="10" t="n"/>
    </row>
    <row r="52">
      <c r="A52" s="95" t="n">
        <v>50</v>
      </c>
      <c r="B52" s="11" t="inlineStr">
        <is>
          <t>Lacquer oven</t>
        </is>
      </c>
      <c r="C52" s="10" t="inlineStr">
        <is>
          <t>Mechanical</t>
        </is>
      </c>
      <c r="D52" s="11" t="inlineStr">
        <is>
          <t>Oven Chain &amp; bearing greasing</t>
        </is>
      </c>
      <c r="E52" s="12" t="inlineStr">
        <is>
          <t>Medium</t>
        </is>
      </c>
      <c r="F52" s="13" t="n">
        <v>0.5</v>
      </c>
      <c r="G52" s="18" t="inlineStr">
        <is>
          <t>In Progress</t>
        </is>
      </c>
      <c r="H52" s="15" t="inlineStr">
        <is>
          <t>Arsalan</t>
        </is>
      </c>
      <c r="I52" s="90" t="n">
        <v>46188</v>
      </c>
      <c r="J52" s="10" t="n"/>
    </row>
    <row r="53">
      <c r="A53" s="95" t="n">
        <v>51</v>
      </c>
      <c r="B53" s="11" t="inlineStr">
        <is>
          <t>Lacquer oven</t>
        </is>
      </c>
      <c r="C53" s="10" t="inlineStr">
        <is>
          <t>Electrical</t>
        </is>
      </c>
      <c r="D53" s="11" t="inlineStr">
        <is>
          <t>closure of electrical panels</t>
        </is>
      </c>
      <c r="E53" s="12" t="inlineStr">
        <is>
          <t>Medium</t>
        </is>
      </c>
      <c r="F53" s="13" t="n">
        <v>0</v>
      </c>
      <c r="G53" s="18" t="inlineStr">
        <is>
          <t>Not Started</t>
        </is>
      </c>
      <c r="H53" s="15" t="inlineStr">
        <is>
          <t>Arsalan</t>
        </is>
      </c>
      <c r="I53" s="90" t="n">
        <v>46188</v>
      </c>
      <c r="J53" s="10" t="n"/>
    </row>
    <row r="54">
      <c r="A54" s="95" t="n">
        <v>52</v>
      </c>
      <c r="B54" s="17" t="inlineStr">
        <is>
          <t>Lacquer oven</t>
        </is>
      </c>
      <c r="C54" s="16" t="inlineStr">
        <is>
          <t>Mechanical</t>
        </is>
      </c>
      <c r="D54" s="17" t="inlineStr">
        <is>
          <t xml:space="preserve">Oven back metallic cover sheet to place </t>
        </is>
      </c>
      <c r="E54" s="12" t="inlineStr">
        <is>
          <t>Medium</t>
        </is>
      </c>
      <c r="F54" s="13" t="n">
        <v>0</v>
      </c>
      <c r="G54" s="18" t="inlineStr">
        <is>
          <t>Not Started</t>
        </is>
      </c>
      <c r="H54" s="15" t="inlineStr">
        <is>
          <t>Arsalan</t>
        </is>
      </c>
      <c r="I54" s="90" t="n">
        <v>46188</v>
      </c>
      <c r="J54" s="16" t="n"/>
    </row>
    <row r="55">
      <c r="A55" s="95" t="n">
        <v>53</v>
      </c>
      <c r="B55" s="11" t="inlineStr">
        <is>
          <t>Over Varnish</t>
        </is>
      </c>
      <c r="C55" s="10" t="inlineStr">
        <is>
          <t>Mechanical</t>
        </is>
      </c>
      <c r="D55" s="11" t="inlineStr">
        <is>
          <t>Rollers — dismantled, to be chrome plated</t>
        </is>
      </c>
      <c r="E55" s="21" t="inlineStr">
        <is>
          <t>High</t>
        </is>
      </c>
      <c r="F55" s="13" t="n">
        <v>1</v>
      </c>
      <c r="G55" s="18" t="inlineStr">
        <is>
          <t>Completed</t>
        </is>
      </c>
      <c r="H55" s="15" t="inlineStr">
        <is>
          <t>Saqib</t>
        </is>
      </c>
      <c r="I55" s="90" t="n">
        <v>46188</v>
      </c>
      <c r="J55" s="10" t="n"/>
    </row>
    <row r="56">
      <c r="A56" s="95" t="n">
        <v>54</v>
      </c>
      <c r="B56" s="81" t="inlineStr">
        <is>
          <t>Printing</t>
        </is>
      </c>
      <c r="C56" s="16" t="inlineStr">
        <is>
          <t>Mechanical</t>
        </is>
      </c>
      <c r="D56" s="17" t="inlineStr">
        <is>
          <t>Rollers — dismantled, to be chrome plated</t>
        </is>
      </c>
      <c r="E56" s="20" t="inlineStr">
        <is>
          <t>High</t>
        </is>
      </c>
      <c r="F56" s="13" t="n">
        <v>0.8</v>
      </c>
      <c r="G56" s="79" t="inlineStr">
        <is>
          <t>In Progress</t>
        </is>
      </c>
      <c r="H56" s="15" t="inlineStr">
        <is>
          <t>Saqib</t>
        </is>
      </c>
      <c r="I56" s="90" t="n">
        <v>46188</v>
      </c>
      <c r="J56" s="16" t="n"/>
    </row>
    <row r="57" ht="25.5" customHeight="1">
      <c r="A57" s="95" t="n">
        <v>55</v>
      </c>
      <c r="B57" s="11" t="inlineStr">
        <is>
          <t>Printing</t>
        </is>
      </c>
      <c r="C57" s="10" t="inlineStr">
        <is>
          <t>Mechanical</t>
        </is>
      </c>
      <c r="D57" s="11" t="inlineStr">
        <is>
          <t>Printing machine rollers — deep clean, rubber &amp; chrome inspection</t>
        </is>
      </c>
      <c r="E57" s="12" t="inlineStr">
        <is>
          <t>High</t>
        </is>
      </c>
      <c r="F57" s="13" t="n">
        <v>0.8</v>
      </c>
      <c r="G57" s="79" t="inlineStr">
        <is>
          <t>In Progress</t>
        </is>
      </c>
      <c r="H57" s="15" t="inlineStr">
        <is>
          <t>Saqib</t>
        </is>
      </c>
      <c r="I57" s="90" t="n">
        <v>46188</v>
      </c>
      <c r="J57" s="10" t="n"/>
    </row>
    <row r="58">
      <c r="A58" s="95" t="n">
        <v>56</v>
      </c>
      <c r="B58" s="17" t="inlineStr">
        <is>
          <t>Printing</t>
        </is>
      </c>
      <c r="C58" s="16" t="inlineStr">
        <is>
          <t>Mechanical</t>
        </is>
      </c>
      <c r="D58" s="17" t="inlineStr">
        <is>
          <t>All printing rollers — dismantle, clean, buff, chrome plate</t>
        </is>
      </c>
      <c r="E58" s="12" t="inlineStr">
        <is>
          <t>High</t>
        </is>
      </c>
      <c r="F58" s="13" t="n">
        <v>0.8</v>
      </c>
      <c r="G58" s="79" t="inlineStr">
        <is>
          <t>In Progress</t>
        </is>
      </c>
      <c r="H58" s="15" t="inlineStr">
        <is>
          <t>Saqib</t>
        </is>
      </c>
      <c r="I58" s="90" t="n">
        <v>46188</v>
      </c>
      <c r="J58" s="16" t="n"/>
    </row>
    <row r="59">
      <c r="A59" s="95" t="n">
        <v>57</v>
      </c>
      <c r="B59" s="17" t="inlineStr">
        <is>
          <t>Printing</t>
        </is>
      </c>
      <c r="C59" s="16" t="inlineStr">
        <is>
          <t>Electrical</t>
        </is>
      </c>
      <c r="D59" s="17" t="inlineStr">
        <is>
          <t>CTC cleaning of machine panels interface</t>
        </is>
      </c>
      <c r="E59" s="12" t="inlineStr">
        <is>
          <t>High</t>
        </is>
      </c>
      <c r="F59" s="13" t="n">
        <v>0.8</v>
      </c>
      <c r="G59" s="79" t="inlineStr">
        <is>
          <t>In Progress</t>
        </is>
      </c>
      <c r="H59" s="15" t="inlineStr">
        <is>
          <t>Arsalan</t>
        </is>
      </c>
      <c r="I59" s="90" t="n">
        <v>46188</v>
      </c>
      <c r="J59" s="16" t="n"/>
    </row>
    <row r="60">
      <c r="A60" s="95" t="n">
        <v>58</v>
      </c>
      <c r="B60" s="17" t="inlineStr">
        <is>
          <t>Washing</t>
        </is>
      </c>
      <c r="C60" s="16" t="inlineStr">
        <is>
          <t>Mechanical</t>
        </is>
      </c>
      <c r="D60" s="17" t="inlineStr">
        <is>
          <t>Heat exchanger for washing system — procure &amp; install</t>
        </is>
      </c>
      <c r="E60" s="19" t="inlineStr">
        <is>
          <t>High</t>
        </is>
      </c>
      <c r="F60" s="13" t="n">
        <v>0</v>
      </c>
      <c r="G60" s="18" t="inlineStr">
        <is>
          <t>Not Started</t>
        </is>
      </c>
      <c r="H60" s="15" t="inlineStr">
        <is>
          <t>Saqib</t>
        </is>
      </c>
      <c r="I60" s="90" t="n">
        <v>46203</v>
      </c>
      <c r="J60" s="16" t="n"/>
    </row>
    <row r="61">
      <c r="A61" s="95" t="n">
        <v>59</v>
      </c>
      <c r="B61" s="17" t="inlineStr">
        <is>
          <t>Washing</t>
        </is>
      </c>
      <c r="C61" s="16" t="inlineStr">
        <is>
          <t>Mechanical</t>
        </is>
      </c>
      <c r="D61" s="17" t="inlineStr">
        <is>
          <t>Inspect all rubber pipes — replace if damaged</t>
        </is>
      </c>
      <c r="E61" s="19" t="inlineStr">
        <is>
          <t>High</t>
        </is>
      </c>
      <c r="F61" s="13" t="n">
        <v>0</v>
      </c>
      <c r="G61" s="26" t="inlineStr">
        <is>
          <t>Not Started</t>
        </is>
      </c>
      <c r="H61" s="15" t="inlineStr">
        <is>
          <t>Arsalan</t>
        </is>
      </c>
      <c r="I61" s="90" t="n">
        <v>46203</v>
      </c>
      <c r="J61" s="16" t="n"/>
    </row>
    <row r="62" ht="25.5" customHeight="1">
      <c r="A62" s="95" t="n">
        <v>60</v>
      </c>
      <c r="B62" s="17" t="inlineStr">
        <is>
          <t>Manual Strapping Machine</t>
        </is>
      </c>
      <c r="C62" s="16" t="inlineStr">
        <is>
          <t>Mechanical</t>
        </is>
      </c>
      <c r="D62" s="17" t="inlineStr">
        <is>
          <t>to place and install at designated location</t>
        </is>
      </c>
      <c r="E62" s="19" t="inlineStr">
        <is>
          <t>Low</t>
        </is>
      </c>
      <c r="F62" s="13" t="n">
        <v>0</v>
      </c>
      <c r="G62" s="18" t="inlineStr">
        <is>
          <t>Not Started</t>
        </is>
      </c>
      <c r="H62" s="15" t="inlineStr">
        <is>
          <t>Arsalan</t>
        </is>
      </c>
      <c r="I62" s="16" t="n"/>
      <c r="J62" s="16" t="n"/>
    </row>
    <row r="63" ht="25.5" customHeight="1">
      <c r="A63" s="95" t="n">
        <v>61</v>
      </c>
      <c r="B63" s="11" t="inlineStr">
        <is>
          <t>Manual Strapping Machine</t>
        </is>
      </c>
      <c r="C63" s="10" t="inlineStr">
        <is>
          <t>Electrical</t>
        </is>
      </c>
      <c r="D63" s="11" t="inlineStr">
        <is>
          <t>wiring and connections to be done</t>
        </is>
      </c>
      <c r="E63" s="12" t="inlineStr">
        <is>
          <t>Low</t>
        </is>
      </c>
      <c r="F63" s="13" t="n">
        <v>0</v>
      </c>
      <c r="G63" s="18" t="inlineStr">
        <is>
          <t>Not Started</t>
        </is>
      </c>
      <c r="H63" s="15" t="inlineStr">
        <is>
          <t>Arsalan</t>
        </is>
      </c>
      <c r="I63" s="23" t="n"/>
      <c r="J63" s="23" t="n"/>
    </row>
    <row r="64">
      <c r="A64" s="95" t="n">
        <v>62</v>
      </c>
      <c r="B64" s="17" t="inlineStr">
        <is>
          <t>Necking</t>
        </is>
      </c>
      <c r="C64" s="16" t="inlineStr">
        <is>
          <t>Mechanical</t>
        </is>
      </c>
      <c r="D64" s="17" t="inlineStr">
        <is>
          <t xml:space="preserve">Infeed tray installation from feeding unit to necking machine </t>
        </is>
      </c>
      <c r="E64" s="20" t="inlineStr">
        <is>
          <t>Medium</t>
        </is>
      </c>
      <c r="F64" s="13" t="n">
        <v>0</v>
      </c>
      <c r="G64" s="18" t="inlineStr">
        <is>
          <t>Not Started</t>
        </is>
      </c>
      <c r="H64" s="15" t="inlineStr">
        <is>
          <t>Arsalan</t>
        </is>
      </c>
      <c r="I64" s="16" t="n"/>
      <c r="J64" s="16" t="n"/>
    </row>
    <row r="65" ht="25.5" customHeight="1">
      <c r="A65" s="95" t="n">
        <v>63</v>
      </c>
      <c r="B65" s="11" t="inlineStr">
        <is>
          <t>Necking</t>
        </is>
      </c>
      <c r="C65" s="10" t="inlineStr">
        <is>
          <t>Mechanical</t>
        </is>
      </c>
      <c r="D65" s="11" t="inlineStr">
        <is>
          <t xml:space="preserve">PVC ejection pipe installation from necking for cans discharge </t>
        </is>
      </c>
      <c r="E65" s="20" t="inlineStr">
        <is>
          <t>Medium</t>
        </is>
      </c>
      <c r="F65" s="13" t="n">
        <v>0</v>
      </c>
      <c r="G65" s="18" t="inlineStr">
        <is>
          <t>Not Started</t>
        </is>
      </c>
      <c r="H65" s="15" t="inlineStr">
        <is>
          <t>Arsalan</t>
        </is>
      </c>
      <c r="I65" s="10" t="n"/>
      <c r="J65" s="10" t="n"/>
    </row>
    <row r="66">
      <c r="A66" s="95" t="n">
        <v>64</v>
      </c>
      <c r="B66" s="17" t="inlineStr">
        <is>
          <t>Necking</t>
        </is>
      </c>
      <c r="C66" s="16" t="inlineStr">
        <is>
          <t>Mechanical</t>
        </is>
      </c>
      <c r="D66" s="17" t="inlineStr">
        <is>
          <t>scrap collection tank to install from necking</t>
        </is>
      </c>
      <c r="E66" s="20" t="inlineStr">
        <is>
          <t>Medium</t>
        </is>
      </c>
      <c r="F66" s="13" t="n">
        <v>0</v>
      </c>
      <c r="G66" s="18" t="inlineStr">
        <is>
          <t>Not Started</t>
        </is>
      </c>
      <c r="H66" s="15" t="inlineStr">
        <is>
          <t>Arsalan</t>
        </is>
      </c>
      <c r="I66" s="16" t="n"/>
      <c r="J66" s="16" t="n"/>
    </row>
    <row r="67">
      <c r="A67" s="95" t="n">
        <v>65</v>
      </c>
      <c r="B67" s="11" t="inlineStr">
        <is>
          <t>Necking</t>
        </is>
      </c>
      <c r="C67" s="10" t="inlineStr">
        <is>
          <t>Mechanical</t>
        </is>
      </c>
      <c r="D67" s="11" t="inlineStr">
        <is>
          <t>Conveyor installation after ejection pipe</t>
        </is>
      </c>
      <c r="E67" s="20" t="inlineStr">
        <is>
          <t>Medium</t>
        </is>
      </c>
      <c r="F67" s="13" t="n">
        <v>0</v>
      </c>
      <c r="G67" s="18" t="inlineStr">
        <is>
          <t>Not Started</t>
        </is>
      </c>
      <c r="H67" s="15" t="inlineStr">
        <is>
          <t>Arsalan</t>
        </is>
      </c>
      <c r="I67" s="10" t="n"/>
      <c r="J67" s="10" t="n"/>
    </row>
    <row r="68">
      <c r="A68" s="95" t="n">
        <v>66</v>
      </c>
      <c r="B68" s="17" t="inlineStr">
        <is>
          <t>Necking</t>
        </is>
      </c>
      <c r="C68" s="16" t="inlineStr">
        <is>
          <t>General</t>
        </is>
      </c>
      <c r="D68" s="17" t="inlineStr">
        <is>
          <t>Necking machine Dry run</t>
        </is>
      </c>
      <c r="E68" s="20" t="inlineStr">
        <is>
          <t>High</t>
        </is>
      </c>
      <c r="F68" s="13" t="n">
        <v>0.5</v>
      </c>
      <c r="G68" s="18" t="inlineStr">
        <is>
          <t>In Progress</t>
        </is>
      </c>
      <c r="H68" s="15" t="inlineStr">
        <is>
          <t>Arsalan</t>
        </is>
      </c>
      <c r="I68" s="16" t="n"/>
      <c r="J68" s="16" t="n"/>
    </row>
    <row r="69">
      <c r="A69" s="95" t="n">
        <v>67</v>
      </c>
      <c r="B69" s="11" t="inlineStr">
        <is>
          <t>Necking</t>
        </is>
      </c>
      <c r="C69" s="10" t="inlineStr">
        <is>
          <t>Electrical</t>
        </is>
      </c>
      <c r="D69" s="11" t="inlineStr">
        <is>
          <t>Electrical troubleshooting and testing</t>
        </is>
      </c>
      <c r="E69" s="20" t="inlineStr">
        <is>
          <t>High</t>
        </is>
      </c>
      <c r="F69" s="13" t="n">
        <v>1</v>
      </c>
      <c r="G69" s="18" t="inlineStr">
        <is>
          <t>Completed</t>
        </is>
      </c>
      <c r="H69" s="15" t="inlineStr">
        <is>
          <t>Arsalan</t>
        </is>
      </c>
      <c r="I69" s="10" t="n"/>
      <c r="J69" s="10" t="n"/>
    </row>
    <row r="70">
      <c r="A70" s="95" t="n">
        <v>68</v>
      </c>
      <c r="B70" s="17" t="inlineStr">
        <is>
          <t>Necking</t>
        </is>
      </c>
      <c r="C70" s="16" t="inlineStr">
        <is>
          <t>Mechanical</t>
        </is>
      </c>
      <c r="D70" s="17" t="inlineStr">
        <is>
          <t>Cans Grippers / Holders — cleaning</t>
        </is>
      </c>
      <c r="E70" s="20" t="inlineStr">
        <is>
          <t>Medium</t>
        </is>
      </c>
      <c r="F70" s="13" t="n">
        <v>1</v>
      </c>
      <c r="G70" s="18" t="inlineStr">
        <is>
          <t>Completed</t>
        </is>
      </c>
      <c r="H70" s="15" t="inlineStr">
        <is>
          <t>Saqib</t>
        </is>
      </c>
      <c r="I70" s="16" t="n"/>
      <c r="J70" s="16" t="n"/>
    </row>
    <row r="71">
      <c r="A71" s="95" t="n">
        <v>69</v>
      </c>
      <c r="B71" s="17" t="inlineStr">
        <is>
          <t>Necking</t>
        </is>
      </c>
      <c r="C71" s="16" t="inlineStr">
        <is>
          <t>Mechanical</t>
        </is>
      </c>
      <c r="D71" s="17" t="inlineStr">
        <is>
          <t>Buffing and polishing on necking machine tools</t>
        </is>
      </c>
      <c r="E71" s="20" t="inlineStr">
        <is>
          <t>Medium</t>
        </is>
      </c>
      <c r="F71" s="13" t="n">
        <v>1</v>
      </c>
      <c r="G71" s="18" t="inlineStr">
        <is>
          <t>Completed</t>
        </is>
      </c>
      <c r="H71" s="15" t="inlineStr">
        <is>
          <t>Saqib</t>
        </is>
      </c>
      <c r="I71" s="16" t="n"/>
      <c r="J71" s="16" t="n"/>
    </row>
    <row r="72" ht="25.5" customHeight="1">
      <c r="A72" s="95" t="n">
        <v>70</v>
      </c>
      <c r="B72" s="17" t="inlineStr">
        <is>
          <t>Necking</t>
        </is>
      </c>
      <c r="C72" s="16" t="inlineStr">
        <is>
          <t>Mechanical</t>
        </is>
      </c>
      <c r="D72" s="17" t="inlineStr">
        <is>
          <t>Cans Grippers / Holders — deep cleaning (after dismantling)</t>
        </is>
      </c>
      <c r="E72" s="20" t="inlineStr">
        <is>
          <t>Medium</t>
        </is>
      </c>
      <c r="F72" s="13" t="n">
        <v>0</v>
      </c>
      <c r="G72" s="79" t="inlineStr">
        <is>
          <t>Not Started</t>
        </is>
      </c>
      <c r="H72" s="15" t="inlineStr">
        <is>
          <t>Saqib</t>
        </is>
      </c>
      <c r="I72" s="90" t="n"/>
      <c r="J72" s="16" t="n"/>
    </row>
    <row r="73">
      <c r="A73" s="95" t="n">
        <v>71</v>
      </c>
      <c r="B73" s="11" t="inlineStr">
        <is>
          <t>Necking</t>
        </is>
      </c>
      <c r="C73" s="10" t="inlineStr">
        <is>
          <t>Mechanical</t>
        </is>
      </c>
      <c r="D73" s="11" t="inlineStr">
        <is>
          <t>Two sets of press dies, springs &amp; nut bolts required</t>
        </is>
      </c>
      <c r="E73" s="20" t="inlineStr">
        <is>
          <t>High</t>
        </is>
      </c>
      <c r="F73" s="13" t="n">
        <v>0</v>
      </c>
      <c r="G73" s="18" t="inlineStr">
        <is>
          <t>Not Started</t>
        </is>
      </c>
      <c r="H73" s="15" t="inlineStr">
        <is>
          <t>Saqib</t>
        </is>
      </c>
      <c r="I73" s="10" t="n"/>
      <c r="J73" s="10" t="n"/>
    </row>
    <row r="74">
      <c r="A74" s="95" t="n">
        <v>72</v>
      </c>
      <c r="B74" s="11" t="inlineStr">
        <is>
          <t>Necking</t>
        </is>
      </c>
      <c r="C74" s="10" t="inlineStr">
        <is>
          <t>Mechanical</t>
        </is>
      </c>
      <c r="D74" s="11" t="inlineStr">
        <is>
          <t>Kluber oil &amp; grease for necking machine</t>
        </is>
      </c>
      <c r="E74" s="20" t="inlineStr">
        <is>
          <t>Medium</t>
        </is>
      </c>
      <c r="F74" s="13" t="n">
        <v>0</v>
      </c>
      <c r="G74" s="18" t="inlineStr">
        <is>
          <t>Not Started</t>
        </is>
      </c>
      <c r="H74" s="15" t="inlineStr">
        <is>
          <t>Saqib</t>
        </is>
      </c>
      <c r="I74" s="10" t="n"/>
      <c r="J74" s="10" t="n"/>
    </row>
    <row r="75" ht="25.5" customHeight="1">
      <c r="A75" s="95" t="n">
        <v>73</v>
      </c>
      <c r="B75" s="17" t="inlineStr">
        <is>
          <t>Necking</t>
        </is>
      </c>
      <c r="C75" s="16" t="inlineStr">
        <is>
          <t>Electrical</t>
        </is>
      </c>
      <c r="D75" s="17" t="inlineStr">
        <is>
          <t>Necking machine — electrical supply troubleshooting for dry run</t>
        </is>
      </c>
      <c r="E75" s="19" t="inlineStr">
        <is>
          <t>High</t>
        </is>
      </c>
      <c r="F75" s="13" t="n">
        <v>0.2</v>
      </c>
      <c r="G75" s="18" t="inlineStr">
        <is>
          <t>In Progress</t>
        </is>
      </c>
      <c r="H75" s="15" t="inlineStr">
        <is>
          <t>Arsalan</t>
        </is>
      </c>
      <c r="I75" s="90" t="n"/>
      <c r="J75" s="16" t="inlineStr">
        <is>
          <t>Interlocking will be redesigned and checked</t>
        </is>
      </c>
    </row>
    <row r="76">
      <c r="A76" s="95" t="n">
        <v>74</v>
      </c>
      <c r="B76" s="17" t="inlineStr">
        <is>
          <t>Washing</t>
        </is>
      </c>
      <c r="C76" s="16" t="inlineStr">
        <is>
          <t>Mechanical</t>
        </is>
      </c>
      <c r="D76" s="17" t="inlineStr">
        <is>
          <t>Washing unit tanks — sizes and quantities for quotation</t>
        </is>
      </c>
      <c r="E76" s="20" t="inlineStr">
        <is>
          <t>Medium</t>
        </is>
      </c>
      <c r="F76" s="13" t="n">
        <v>0</v>
      </c>
      <c r="G76" s="82" t="inlineStr">
        <is>
          <t>Pending Procurement</t>
        </is>
      </c>
      <c r="H76" s="15" t="inlineStr">
        <is>
          <t>Saqib</t>
        </is>
      </c>
      <c r="I76" s="90" t="n">
        <v>46188</v>
      </c>
      <c r="J76" s="16" t="n"/>
    </row>
    <row r="77">
      <c r="A77" s="95" t="n">
        <v>75</v>
      </c>
      <c r="B77" s="11" t="inlineStr">
        <is>
          <t>Press</t>
        </is>
      </c>
      <c r="C77" s="10" t="inlineStr">
        <is>
          <t>Electrical</t>
        </is>
      </c>
      <c r="D77" s="11" t="inlineStr">
        <is>
          <t>Close all electrical panels and cable trays</t>
        </is>
      </c>
      <c r="E77" s="12" t="inlineStr">
        <is>
          <t>High</t>
        </is>
      </c>
      <c r="F77" s="13" t="n">
        <v>0.1</v>
      </c>
      <c r="G77" s="15" t="inlineStr">
        <is>
          <t>In Progress</t>
        </is>
      </c>
      <c r="H77" s="15" t="inlineStr">
        <is>
          <t>Arsalan</t>
        </is>
      </c>
      <c r="I77" s="89" t="n">
        <v>46189</v>
      </c>
      <c r="J77" s="10" t="n"/>
    </row>
    <row r="78">
      <c r="A78" s="95" t="n">
        <v>76</v>
      </c>
      <c r="B78" s="11" t="inlineStr">
        <is>
          <t>Press</t>
        </is>
      </c>
      <c r="C78" s="10" t="inlineStr">
        <is>
          <t>Mechanical</t>
        </is>
      </c>
      <c r="D78" s="11" t="inlineStr">
        <is>
          <t>Damping rubber pads over slug feeding tray</t>
        </is>
      </c>
      <c r="E78" s="21" t="inlineStr">
        <is>
          <t>Low</t>
        </is>
      </c>
      <c r="F78" s="13" t="n">
        <v>0.6</v>
      </c>
      <c r="G78" s="99" t="inlineStr">
        <is>
          <t>Completed</t>
        </is>
      </c>
      <c r="H78" s="15" t="inlineStr">
        <is>
          <t>Saqib</t>
        </is>
      </c>
      <c r="I78" s="89" t="n">
        <v>46189</v>
      </c>
      <c r="J78" s="10" t="n"/>
    </row>
    <row r="79">
      <c r="A79" s="95" t="n">
        <v>77</v>
      </c>
      <c r="B79" s="17" t="inlineStr">
        <is>
          <t>Press</t>
        </is>
      </c>
      <c r="C79" s="16" t="inlineStr">
        <is>
          <t>Mechanical</t>
        </is>
      </c>
      <c r="D79" s="17" t="inlineStr">
        <is>
          <t>Gear Oil Lubrication pumping system setup</t>
        </is>
      </c>
      <c r="E79" s="12" t="inlineStr">
        <is>
          <t>High</t>
        </is>
      </c>
      <c r="F79" s="13" t="n">
        <v>1</v>
      </c>
      <c r="G79" s="80" t="inlineStr">
        <is>
          <t>In Progress</t>
        </is>
      </c>
      <c r="H79" s="15" t="inlineStr">
        <is>
          <t>Arsalan</t>
        </is>
      </c>
      <c r="I79" s="89" t="n">
        <v>46189</v>
      </c>
      <c r="J79" s="16" t="n"/>
    </row>
    <row r="80">
      <c r="A80" s="95" t="n">
        <v>78</v>
      </c>
      <c r="B80" s="11" t="inlineStr">
        <is>
          <t>Press</t>
        </is>
      </c>
      <c r="C80" s="10" t="inlineStr">
        <is>
          <t>Mechanical</t>
        </is>
      </c>
      <c r="D80" s="11" t="inlineStr">
        <is>
          <t>Slug Feeding Hopper sheet to be fixed</t>
        </is>
      </c>
      <c r="E80" s="12" t="inlineStr">
        <is>
          <t>High</t>
        </is>
      </c>
      <c r="F80" s="13" t="n">
        <v>1</v>
      </c>
      <c r="G80" s="18" t="inlineStr">
        <is>
          <t>Completed</t>
        </is>
      </c>
      <c r="H80" s="15" t="inlineStr">
        <is>
          <t>Saqib</t>
        </is>
      </c>
      <c r="I80" s="89" t="n">
        <v>46189</v>
      </c>
      <c r="J80" s="10" t="n"/>
    </row>
    <row r="81">
      <c r="A81" s="95" t="n">
        <v>79</v>
      </c>
      <c r="B81" s="11" t="inlineStr">
        <is>
          <t>Press</t>
        </is>
      </c>
      <c r="C81" s="10" t="inlineStr">
        <is>
          <t>Mechanical</t>
        </is>
      </c>
      <c r="D81" s="11" t="inlineStr">
        <is>
          <t xml:space="preserve">Tools for press machine </t>
        </is>
      </c>
      <c r="E81" s="12" t="inlineStr">
        <is>
          <t>High</t>
        </is>
      </c>
      <c r="F81" s="13" t="n">
        <v>0.2</v>
      </c>
      <c r="G81" s="79" t="inlineStr">
        <is>
          <t>Pending Procurement</t>
        </is>
      </c>
      <c r="H81" s="15" t="inlineStr">
        <is>
          <t>Saqib</t>
        </is>
      </c>
      <c r="I81" s="89" t="n">
        <v>46189</v>
      </c>
      <c r="J81" s="10" t="n"/>
    </row>
    <row r="82">
      <c r="A82" s="95" t="n">
        <v>80</v>
      </c>
      <c r="B82" s="11" t="inlineStr">
        <is>
          <t>Press</t>
        </is>
      </c>
      <c r="C82" s="10" t="inlineStr">
        <is>
          <t>Electrical</t>
        </is>
      </c>
      <c r="D82" s="11" t="inlineStr">
        <is>
          <t>Dust Collection blower installation</t>
        </is>
      </c>
      <c r="E82" s="19" t="inlineStr">
        <is>
          <t>Medium</t>
        </is>
      </c>
      <c r="F82" s="13" t="n">
        <v>1</v>
      </c>
      <c r="G82" s="26" t="inlineStr">
        <is>
          <t>Completed</t>
        </is>
      </c>
      <c r="H82" s="80" t="inlineStr">
        <is>
          <t>Arsalan</t>
        </is>
      </c>
      <c r="I82" s="89" t="n">
        <v>46189</v>
      </c>
      <c r="J82" s="10" t="n"/>
    </row>
    <row r="83">
      <c r="A83" s="95" t="n">
        <v>81</v>
      </c>
      <c r="B83" s="17" t="inlineStr">
        <is>
          <t>Press</t>
        </is>
      </c>
      <c r="C83" s="16" t="inlineStr">
        <is>
          <t>Electrical</t>
        </is>
      </c>
      <c r="D83" s="17" t="inlineStr">
        <is>
          <t>SOV pneumatic press clutch service</t>
        </is>
      </c>
      <c r="E83" s="20" t="inlineStr">
        <is>
          <t>High</t>
        </is>
      </c>
      <c r="F83" s="13" t="n">
        <v>0.8</v>
      </c>
      <c r="G83" s="18" t="inlineStr">
        <is>
          <t>Completed</t>
        </is>
      </c>
      <c r="H83" s="15" t="inlineStr">
        <is>
          <t>Arsalan</t>
        </is>
      </c>
      <c r="I83" s="89" t="n">
        <v>46189</v>
      </c>
      <c r="J83" s="16" t="n"/>
    </row>
    <row r="84">
      <c r="A84" s="95" t="n">
        <v>82</v>
      </c>
      <c r="B84" s="11" t="inlineStr">
        <is>
          <t>Press</t>
        </is>
      </c>
      <c r="C84" s="10" t="inlineStr">
        <is>
          <t>Electrical</t>
        </is>
      </c>
      <c r="D84" s="11" t="inlineStr">
        <is>
          <t xml:space="preserve">Hopper motor installation and testing </t>
        </is>
      </c>
      <c r="E84" s="20" t="inlineStr">
        <is>
          <t>High</t>
        </is>
      </c>
      <c r="F84" s="13" t="n">
        <v>1</v>
      </c>
      <c r="G84" s="18" t="inlineStr">
        <is>
          <t>Completed</t>
        </is>
      </c>
      <c r="H84" s="15" t="inlineStr">
        <is>
          <t>Arsalan</t>
        </is>
      </c>
      <c r="I84" s="89" t="n">
        <v>46189</v>
      </c>
      <c r="J84" s="10" t="n"/>
    </row>
    <row r="85">
      <c r="A85" s="95" t="n">
        <v>83</v>
      </c>
      <c r="B85" s="17" t="inlineStr">
        <is>
          <t>Press</t>
        </is>
      </c>
      <c r="C85" s="16" t="inlineStr">
        <is>
          <t>Electrical</t>
        </is>
      </c>
      <c r="D85" s="17" t="inlineStr">
        <is>
          <t>Cable trays installation</t>
        </is>
      </c>
      <c r="E85" s="20" t="inlineStr">
        <is>
          <t>High</t>
        </is>
      </c>
      <c r="F85" s="13" t="n">
        <v>1</v>
      </c>
      <c r="G85" s="18" t="inlineStr">
        <is>
          <t>Completed</t>
        </is>
      </c>
      <c r="H85" s="15" t="inlineStr">
        <is>
          <t>Arsalan</t>
        </is>
      </c>
      <c r="I85" s="89" t="n">
        <v>46189</v>
      </c>
      <c r="J85" s="16" t="n"/>
    </row>
    <row r="86">
      <c r="A86" s="95" t="n">
        <v>84</v>
      </c>
      <c r="B86" s="11" t="inlineStr">
        <is>
          <t>Press</t>
        </is>
      </c>
      <c r="C86" s="10" t="inlineStr">
        <is>
          <t>Mechanical</t>
        </is>
      </c>
      <c r="D86" s="11" t="inlineStr">
        <is>
          <t>Press Clutch NRV repaired</t>
        </is>
      </c>
      <c r="E86" s="20" t="inlineStr">
        <is>
          <t>High</t>
        </is>
      </c>
      <c r="F86" s="13" t="n">
        <v>1</v>
      </c>
      <c r="G86" s="18" t="inlineStr">
        <is>
          <t>Completed</t>
        </is>
      </c>
      <c r="H86" s="15" t="inlineStr">
        <is>
          <t>Arsalan</t>
        </is>
      </c>
      <c r="I86" s="89" t="n">
        <v>46189</v>
      </c>
      <c r="J86" s="10" t="n"/>
    </row>
    <row r="87" ht="25.5" customHeight="1">
      <c r="A87" s="95" t="n">
        <v>85</v>
      </c>
      <c r="B87" s="17" t="inlineStr">
        <is>
          <t>Overall Machine operation</t>
        </is>
      </c>
      <c r="C87" s="16" t="inlineStr">
        <is>
          <t>Electrical</t>
        </is>
      </c>
      <c r="D87" s="24" t="inlineStr">
        <is>
          <t xml:space="preserve">Main Power Cable Termination &amp; Execution Plan </t>
        </is>
      </c>
      <c r="E87" s="20" t="inlineStr">
        <is>
          <t>High</t>
        </is>
      </c>
      <c r="F87" s="13" t="n">
        <v>0</v>
      </c>
      <c r="G87" s="18" t="inlineStr">
        <is>
          <t>Not Started</t>
        </is>
      </c>
      <c r="H87" s="15" t="inlineStr">
        <is>
          <t>Arsalan</t>
        </is>
      </c>
      <c r="I87" s="90" t="n">
        <v>46186</v>
      </c>
      <c r="J87" s="16" t="n"/>
    </row>
    <row r="88" ht="25.5" customHeight="1">
      <c r="A88" s="95" t="n">
        <v>86</v>
      </c>
      <c r="B88" s="17" t="inlineStr">
        <is>
          <t>Overall Machine operation</t>
        </is>
      </c>
      <c r="C88" s="16" t="inlineStr">
        <is>
          <t>Electrical</t>
        </is>
      </c>
      <c r="D88" s="24" t="inlineStr">
        <is>
          <t>Main Power Cable procurement</t>
        </is>
      </c>
      <c r="E88" s="20" t="inlineStr">
        <is>
          <t>High</t>
        </is>
      </c>
      <c r="F88" s="13" t="n">
        <v>0</v>
      </c>
      <c r="G88" s="18" t="inlineStr">
        <is>
          <t>Pending Procurement</t>
        </is>
      </c>
      <c r="H88" s="15" t="inlineStr">
        <is>
          <t>Saqib</t>
        </is>
      </c>
      <c r="I88" s="90" t="n"/>
      <c r="J88" s="16" t="inlineStr">
        <is>
          <t>Quotation awaiting for execution</t>
        </is>
      </c>
    </row>
    <row r="89" ht="25.5" customHeight="1">
      <c r="A89" s="95" t="n">
        <v>87</v>
      </c>
      <c r="B89" s="17" t="inlineStr">
        <is>
          <t>Overall Machine operation</t>
        </is>
      </c>
      <c r="C89" s="10" t="inlineStr">
        <is>
          <t>Electrical</t>
        </is>
      </c>
      <c r="D89" s="25" t="inlineStr">
        <is>
          <t>Electrical panels for power distribution</t>
        </is>
      </c>
      <c r="E89" s="20" t="inlineStr">
        <is>
          <t>High</t>
        </is>
      </c>
      <c r="F89" s="13" t="n">
        <v>0</v>
      </c>
      <c r="G89" s="18" t="inlineStr">
        <is>
          <t>Pending Procurement</t>
        </is>
      </c>
      <c r="H89" s="15" t="inlineStr">
        <is>
          <t>Arsalan</t>
        </is>
      </c>
      <c r="I89" s="90" t="n"/>
      <c r="J89" s="10" t="inlineStr">
        <is>
          <t>Quotation awaiting for execution</t>
        </is>
      </c>
    </row>
    <row r="90" ht="25.5" customHeight="1">
      <c r="A90" s="95" t="n">
        <v>88</v>
      </c>
      <c r="B90" s="17" t="inlineStr">
        <is>
          <t>Overall Machine operation</t>
        </is>
      </c>
      <c r="C90" s="16" t="inlineStr">
        <is>
          <t>Electrical</t>
        </is>
      </c>
      <c r="D90" s="17" t="inlineStr">
        <is>
          <t>Verify electrical panels, wiring &amp; interlocks — Press to Washing</t>
        </is>
      </c>
      <c r="E90" s="20" t="inlineStr">
        <is>
          <t>High</t>
        </is>
      </c>
      <c r="F90" s="13" t="n">
        <v>0.5</v>
      </c>
      <c r="G90" s="26" t="inlineStr">
        <is>
          <t>In Progress</t>
        </is>
      </c>
      <c r="H90" s="15" t="inlineStr">
        <is>
          <t>Arsalan</t>
        </is>
      </c>
      <c r="I90" s="90" t="n"/>
      <c r="J90" s="16" t="inlineStr">
        <is>
          <t>Till Washing Machine electrical Work is completed</t>
        </is>
      </c>
    </row>
    <row r="91" ht="25.5" customHeight="1">
      <c r="A91" s="95" t="n">
        <v>89</v>
      </c>
      <c r="B91" s="17" t="inlineStr">
        <is>
          <t>Overall Machine operation</t>
        </is>
      </c>
      <c r="C91" s="16" t="inlineStr">
        <is>
          <t>Electrical</t>
        </is>
      </c>
      <c r="D91" s="17" t="inlineStr">
        <is>
          <t>Testing of Control Logics &amp; Circuits</t>
        </is>
      </c>
      <c r="E91" s="20" t="inlineStr">
        <is>
          <t>High</t>
        </is>
      </c>
      <c r="F91" s="13" t="n">
        <v>0.1</v>
      </c>
      <c r="G91" s="79" t="inlineStr">
        <is>
          <t>In Progress</t>
        </is>
      </c>
      <c r="H91" s="15" t="inlineStr">
        <is>
          <t>Arsalan</t>
        </is>
      </c>
      <c r="I91" s="16" t="n"/>
      <c r="J91" s="16" t="n"/>
    </row>
    <row r="92" ht="25.5" customHeight="1">
      <c r="A92" s="95" t="n">
        <v>90</v>
      </c>
      <c r="B92" s="17" t="inlineStr">
        <is>
          <t>Overall Machine operation</t>
        </is>
      </c>
      <c r="C92" s="10" t="inlineStr">
        <is>
          <t>Electrical</t>
        </is>
      </c>
      <c r="D92" s="11" t="inlineStr">
        <is>
          <t>Verify electrical panels, wiring &amp; interlocks — Washing to Necking</t>
        </is>
      </c>
      <c r="E92" s="20" t="inlineStr">
        <is>
          <t>High</t>
        </is>
      </c>
      <c r="F92" s="13" t="n">
        <v>0.5</v>
      </c>
      <c r="G92" s="26" t="inlineStr">
        <is>
          <t>In Progress</t>
        </is>
      </c>
      <c r="H92" s="15" t="inlineStr">
        <is>
          <t>Arsalan</t>
        </is>
      </c>
      <c r="I92" s="10" t="n"/>
      <c r="J92" s="10" t="n"/>
    </row>
    <row r="93">
      <c r="A93" s="95" t="n">
        <v>91</v>
      </c>
      <c r="B93" s="11" t="inlineStr">
        <is>
          <t>Press</t>
        </is>
      </c>
      <c r="C93" s="10" t="inlineStr">
        <is>
          <t>Mechanical</t>
        </is>
      </c>
      <c r="D93" s="11" t="inlineStr">
        <is>
          <t>Press timing and alignment with testing</t>
        </is>
      </c>
      <c r="E93" s="20" t="inlineStr">
        <is>
          <t>High</t>
        </is>
      </c>
      <c r="F93" s="13" t="n">
        <v>1</v>
      </c>
      <c r="G93" s="18" t="inlineStr">
        <is>
          <t>Completed</t>
        </is>
      </c>
      <c r="H93" s="15" t="inlineStr">
        <is>
          <t>Arsalan</t>
        </is>
      </c>
      <c r="I93" s="89" t="n">
        <v>46189</v>
      </c>
      <c r="J93" s="10" t="n"/>
    </row>
    <row r="94">
      <c r="A94" s="95" t="n">
        <v>92</v>
      </c>
      <c r="B94" s="17" t="inlineStr">
        <is>
          <t>Press</t>
        </is>
      </c>
      <c r="C94" s="16" t="inlineStr">
        <is>
          <t>Mechanical</t>
        </is>
      </c>
      <c r="D94" s="17" t="inlineStr">
        <is>
          <t>Die &amp; punch stroke setting</t>
        </is>
      </c>
      <c r="E94" s="20" t="inlineStr">
        <is>
          <t>High</t>
        </is>
      </c>
      <c r="F94" s="13" t="n">
        <v>1</v>
      </c>
      <c r="G94" s="18" t="inlineStr">
        <is>
          <t>Completed</t>
        </is>
      </c>
      <c r="H94" s="15" t="inlineStr">
        <is>
          <t>Arsalan</t>
        </is>
      </c>
      <c r="I94" s="89" t="n">
        <v>46189</v>
      </c>
      <c r="J94" s="16" t="n"/>
    </row>
    <row r="95">
      <c r="A95" s="95" t="n">
        <v>93</v>
      </c>
      <c r="B95" s="17" t="inlineStr">
        <is>
          <t>Press</t>
        </is>
      </c>
      <c r="C95" s="10" t="inlineStr">
        <is>
          <t>Mechanical</t>
        </is>
      </c>
      <c r="D95" s="11" t="inlineStr">
        <is>
          <t>Slug tray on/of switch to be installed</t>
        </is>
      </c>
      <c r="E95" s="12" t="inlineStr">
        <is>
          <t>High</t>
        </is>
      </c>
      <c r="F95" s="13" t="n">
        <v>0</v>
      </c>
      <c r="G95" s="80" t="inlineStr">
        <is>
          <t>In Progress</t>
        </is>
      </c>
      <c r="H95" s="15" t="inlineStr">
        <is>
          <t>Arsalan</t>
        </is>
      </c>
      <c r="I95" s="89" t="n">
        <v>46189</v>
      </c>
      <c r="J95" s="16" t="n"/>
    </row>
    <row r="96">
      <c r="A96" s="95" t="n">
        <v>94</v>
      </c>
      <c r="B96" s="11" t="inlineStr">
        <is>
          <t>Press</t>
        </is>
      </c>
      <c r="C96" s="10" t="inlineStr">
        <is>
          <t>Mechanical</t>
        </is>
      </c>
      <c r="D96" s="11" t="inlineStr">
        <is>
          <t>Dust Collection blower piping</t>
        </is>
      </c>
      <c r="E96" s="19" t="inlineStr">
        <is>
          <t>Medium</t>
        </is>
      </c>
      <c r="F96" s="13" t="n">
        <v>1</v>
      </c>
      <c r="G96" s="26" t="inlineStr">
        <is>
          <t>Completed</t>
        </is>
      </c>
      <c r="H96" s="15" t="inlineStr">
        <is>
          <t>Saqib</t>
        </is>
      </c>
      <c r="I96" s="89" t="n">
        <v>46189</v>
      </c>
      <c r="J96" s="10" t="n"/>
    </row>
    <row r="97">
      <c r="A97" s="95" t="n">
        <v>95</v>
      </c>
      <c r="B97" s="11" t="inlineStr">
        <is>
          <t>Press</t>
        </is>
      </c>
      <c r="C97" s="10" t="inlineStr">
        <is>
          <t>Mechanical</t>
        </is>
      </c>
      <c r="D97" s="11" t="inlineStr">
        <is>
          <t>Welding &amp; fixing gear oil tank brackets and sheet</t>
        </is>
      </c>
      <c r="E97" s="19" t="inlineStr">
        <is>
          <t>Medium</t>
        </is>
      </c>
      <c r="F97" s="13" t="n">
        <v>0.5</v>
      </c>
      <c r="G97" s="18" t="inlineStr">
        <is>
          <t>In Progress</t>
        </is>
      </c>
      <c r="H97" s="15" t="inlineStr">
        <is>
          <t>Arsalan</t>
        </is>
      </c>
      <c r="I97" s="89" t="n">
        <v>46189</v>
      </c>
      <c r="J97" s="10" t="n"/>
    </row>
    <row r="98">
      <c r="A98" s="95" t="n">
        <v>96</v>
      </c>
      <c r="B98" s="17" t="inlineStr">
        <is>
          <t>Press</t>
        </is>
      </c>
      <c r="C98" s="16" t="inlineStr">
        <is>
          <t>Mechanical</t>
        </is>
      </c>
      <c r="D98" s="17" t="inlineStr">
        <is>
          <t>Fixing the lubrication tray properly with a slope for drainage</t>
        </is>
      </c>
      <c r="E98" s="19" t="inlineStr">
        <is>
          <t>Medium</t>
        </is>
      </c>
      <c r="F98" s="13" t="n">
        <v>1</v>
      </c>
      <c r="G98" s="79" t="inlineStr">
        <is>
          <t>Completed</t>
        </is>
      </c>
      <c r="H98" s="15" t="inlineStr">
        <is>
          <t>Arsalan</t>
        </is>
      </c>
      <c r="I98" s="89" t="n">
        <v>46189</v>
      </c>
      <c r="J98" s="16" t="n"/>
    </row>
    <row r="99" ht="25.5" customHeight="1">
      <c r="A99" s="95" t="n">
        <v>97</v>
      </c>
      <c r="B99" s="11" t="inlineStr">
        <is>
          <t>Press</t>
        </is>
      </c>
      <c r="C99" s="10" t="inlineStr">
        <is>
          <t>Mechanical</t>
        </is>
      </c>
      <c r="D99" s="11" t="inlineStr">
        <is>
          <t>Place and install the Oil collection tank directly under the tray</t>
        </is>
      </c>
      <c r="E99" s="19" t="inlineStr">
        <is>
          <t>Medium</t>
        </is>
      </c>
      <c r="F99" s="13" t="n">
        <v>1</v>
      </c>
      <c r="G99" s="79" t="inlineStr">
        <is>
          <t>Completed</t>
        </is>
      </c>
      <c r="H99" s="15" t="inlineStr">
        <is>
          <t>Arsalan</t>
        </is>
      </c>
      <c r="I99" s="89" t="n">
        <v>46189</v>
      </c>
      <c r="J99" s="10" t="n"/>
    </row>
    <row r="100">
      <c r="A100" s="95" t="n">
        <v>98</v>
      </c>
      <c r="B100" s="17" t="inlineStr">
        <is>
          <t>Press</t>
        </is>
      </c>
      <c r="C100" s="16" t="inlineStr">
        <is>
          <t>Mechanical</t>
        </is>
      </c>
      <c r="D100" s="17" t="inlineStr">
        <is>
          <t>Installation of Level sensor and Filter on the oil tank</t>
        </is>
      </c>
      <c r="E100" s="20" t="inlineStr">
        <is>
          <t>Medium</t>
        </is>
      </c>
      <c r="F100" s="13" t="n">
        <v>1</v>
      </c>
      <c r="G100" s="82" t="inlineStr">
        <is>
          <t>Completed</t>
        </is>
      </c>
      <c r="H100" s="15" t="inlineStr">
        <is>
          <t>Arsalan</t>
        </is>
      </c>
      <c r="I100" s="89" t="n">
        <v>46189</v>
      </c>
      <c r="J100" s="16" t="n"/>
    </row>
    <row r="101">
      <c r="A101" s="95" t="n">
        <v>99</v>
      </c>
      <c r="B101" s="11" t="inlineStr">
        <is>
          <t>Trimming</t>
        </is>
      </c>
      <c r="C101" s="10" t="inlineStr">
        <is>
          <t>Mechanical</t>
        </is>
      </c>
      <c r="D101" s="11" t="inlineStr">
        <is>
          <t>Installation of piping of Trimming Of blower</t>
        </is>
      </c>
      <c r="E101" s="12" t="inlineStr">
        <is>
          <t>High</t>
        </is>
      </c>
      <c r="F101" s="13" t="n">
        <v>0.6</v>
      </c>
      <c r="G101" s="79" t="inlineStr">
        <is>
          <t>In Progress</t>
        </is>
      </c>
      <c r="H101" s="15" t="inlineStr">
        <is>
          <t>Arsalan</t>
        </is>
      </c>
      <c r="I101" s="89" t="n">
        <v>46192</v>
      </c>
      <c r="J101" s="10" t="n"/>
    </row>
    <row r="102">
      <c r="A102" s="95" t="n">
        <v>100</v>
      </c>
      <c r="B102" s="11" t="inlineStr">
        <is>
          <t>Trimming</t>
        </is>
      </c>
      <c r="C102" s="10" t="inlineStr">
        <is>
          <t>Mechanical</t>
        </is>
      </c>
      <c r="D102" s="11" t="inlineStr">
        <is>
          <t>Conveyor alignment — Trimming to Washing</t>
        </is>
      </c>
      <c r="E102" s="12" t="inlineStr">
        <is>
          <t>High</t>
        </is>
      </c>
      <c r="F102" s="13" t="n">
        <v>0.5</v>
      </c>
      <c r="G102" s="15" t="inlineStr">
        <is>
          <t>In Progress</t>
        </is>
      </c>
      <c r="H102" s="15" t="inlineStr">
        <is>
          <t>Arsalan</t>
        </is>
      </c>
      <c r="I102" s="89" t="n">
        <v>46192</v>
      </c>
      <c r="J102" s="10" t="n"/>
    </row>
    <row r="103">
      <c r="A103" s="95" t="n">
        <v>101</v>
      </c>
      <c r="B103" s="17" t="inlineStr">
        <is>
          <t>Trimming</t>
        </is>
      </c>
      <c r="C103" s="16" t="inlineStr">
        <is>
          <t>Electrical</t>
        </is>
      </c>
      <c r="D103" s="17" t="inlineStr">
        <is>
          <t>Trimming Scrap collector wiring and troubleshooting</t>
        </is>
      </c>
      <c r="E103" s="12" t="inlineStr">
        <is>
          <t>High</t>
        </is>
      </c>
      <c r="F103" s="13" t="n">
        <v>0</v>
      </c>
      <c r="G103" s="82" t="inlineStr">
        <is>
          <t>Not Started</t>
        </is>
      </c>
      <c r="H103" s="80" t="inlineStr">
        <is>
          <t>Arsalan</t>
        </is>
      </c>
      <c r="I103" s="89" t="n">
        <v>46192</v>
      </c>
      <c r="J103" s="16" t="n"/>
    </row>
    <row r="104">
      <c r="A104" s="95" t="n">
        <v>102</v>
      </c>
      <c r="B104" s="11" t="inlineStr">
        <is>
          <t>Trimming</t>
        </is>
      </c>
      <c r="C104" s="10" t="inlineStr">
        <is>
          <t>Electrical</t>
        </is>
      </c>
      <c r="D104" s="11" t="inlineStr">
        <is>
          <t>Electrical Panel checked / Tested</t>
        </is>
      </c>
      <c r="E104" s="12" t="inlineStr">
        <is>
          <t>High</t>
        </is>
      </c>
      <c r="F104" s="13" t="n">
        <v>1</v>
      </c>
      <c r="G104" s="18" t="inlineStr">
        <is>
          <t>Completed</t>
        </is>
      </c>
      <c r="H104" s="15" t="inlineStr">
        <is>
          <t>Arsalan</t>
        </is>
      </c>
      <c r="I104" s="89" t="n">
        <v>46192</v>
      </c>
      <c r="J104" s="10" t="n"/>
    </row>
    <row r="105">
      <c r="A105" s="95" t="n">
        <v>103</v>
      </c>
      <c r="B105" s="17" t="inlineStr">
        <is>
          <t>Trimming</t>
        </is>
      </c>
      <c r="C105" s="16" t="inlineStr">
        <is>
          <t>Electrical</t>
        </is>
      </c>
      <c r="D105" s="17" t="inlineStr">
        <is>
          <t>Startup main motor</t>
        </is>
      </c>
      <c r="E105" s="12" t="inlineStr">
        <is>
          <t>High</t>
        </is>
      </c>
      <c r="F105" s="13" t="n">
        <v>1</v>
      </c>
      <c r="G105" s="18" t="inlineStr">
        <is>
          <t>Completed</t>
        </is>
      </c>
      <c r="H105" s="15" t="inlineStr">
        <is>
          <t>Arsalan</t>
        </is>
      </c>
      <c r="I105" s="89" t="n">
        <v>46192</v>
      </c>
      <c r="J105" s="16" t="n"/>
    </row>
    <row r="106">
      <c r="A106" s="95" t="n">
        <v>104</v>
      </c>
      <c r="B106" s="11" t="inlineStr">
        <is>
          <t>Trimming</t>
        </is>
      </c>
      <c r="C106" s="10" t="inlineStr">
        <is>
          <t>Electrical</t>
        </is>
      </c>
      <c r="D106" s="11" t="inlineStr">
        <is>
          <t>Pneumatic and Electrical operation check</t>
        </is>
      </c>
      <c r="E106" s="12" t="inlineStr">
        <is>
          <t>High</t>
        </is>
      </c>
      <c r="F106" s="13" t="n">
        <v>1</v>
      </c>
      <c r="G106" s="18" t="inlineStr">
        <is>
          <t>Completed</t>
        </is>
      </c>
      <c r="H106" s="15" t="inlineStr">
        <is>
          <t>Arsalan</t>
        </is>
      </c>
      <c r="I106" s="89" t="n">
        <v>46192</v>
      </c>
      <c r="J106" s="10" t="n"/>
    </row>
    <row r="107">
      <c r="A107" s="95" t="n">
        <v>105</v>
      </c>
      <c r="B107" s="17" t="inlineStr">
        <is>
          <t>Trimming</t>
        </is>
      </c>
      <c r="C107" s="16" t="inlineStr">
        <is>
          <t>Mechanical</t>
        </is>
      </c>
      <c r="D107" s="17" t="inlineStr">
        <is>
          <t>Trimming startup</t>
        </is>
      </c>
      <c r="E107" s="12" t="inlineStr">
        <is>
          <t>High</t>
        </is>
      </c>
      <c r="F107" s="13" t="n">
        <v>1</v>
      </c>
      <c r="G107" s="18" t="inlineStr">
        <is>
          <t>Completed</t>
        </is>
      </c>
      <c r="H107" s="15" t="inlineStr">
        <is>
          <t>Arsalan</t>
        </is>
      </c>
      <c r="I107" s="89" t="n">
        <v>46192</v>
      </c>
      <c r="J107" s="16" t="n"/>
    </row>
    <row r="108">
      <c r="A108" s="95" t="n">
        <v>106</v>
      </c>
      <c r="B108" s="17" t="inlineStr">
        <is>
          <t>Trimming</t>
        </is>
      </c>
      <c r="C108" s="16" t="inlineStr">
        <is>
          <t>Mechanical</t>
        </is>
      </c>
      <c r="D108" s="17" t="inlineStr">
        <is>
          <t>Conveyor — Press to Trimming input</t>
        </is>
      </c>
      <c r="E108" s="12" t="inlineStr">
        <is>
          <t>High</t>
        </is>
      </c>
      <c r="F108" s="13" t="n">
        <v>1</v>
      </c>
      <c r="G108" s="18" t="inlineStr">
        <is>
          <t>Completed</t>
        </is>
      </c>
      <c r="H108" s="15" t="inlineStr">
        <is>
          <t>Arsalan</t>
        </is>
      </c>
      <c r="I108" s="89" t="n">
        <v>46192</v>
      </c>
      <c r="J108" s="16" t="n"/>
    </row>
    <row r="109">
      <c r="A109" s="95" t="n">
        <v>107</v>
      </c>
      <c r="B109" s="11" t="inlineStr">
        <is>
          <t>Trimming</t>
        </is>
      </c>
      <c r="C109" s="10" t="inlineStr">
        <is>
          <t>Mechanical</t>
        </is>
      </c>
      <c r="D109" s="11" t="inlineStr">
        <is>
          <t>Trimming machine dry run</t>
        </is>
      </c>
      <c r="E109" s="12" t="inlineStr">
        <is>
          <t>High</t>
        </is>
      </c>
      <c r="F109" s="13" t="n">
        <v>1</v>
      </c>
      <c r="G109" s="18" t="inlineStr">
        <is>
          <t>Completed</t>
        </is>
      </c>
      <c r="H109" s="15" t="inlineStr">
        <is>
          <t>Arsalan</t>
        </is>
      </c>
      <c r="I109" s="89" t="n">
        <v>46192</v>
      </c>
      <c r="J109" s="10" t="n"/>
    </row>
    <row r="110">
      <c r="A110" s="95" t="n">
        <v>108</v>
      </c>
      <c r="B110" s="11" t="inlineStr">
        <is>
          <t>Trimming</t>
        </is>
      </c>
      <c r="C110" s="10" t="inlineStr">
        <is>
          <t>Mechanical</t>
        </is>
      </c>
      <c r="D110" s="11" t="inlineStr">
        <is>
          <t>Install safety guard for suction at scrap generation point</t>
        </is>
      </c>
      <c r="E110" s="12" t="inlineStr">
        <is>
          <t>High</t>
        </is>
      </c>
      <c r="F110" s="13" t="n">
        <v>0</v>
      </c>
      <c r="G110" s="15" t="inlineStr">
        <is>
          <t>Not Started</t>
        </is>
      </c>
      <c r="H110" s="15" t="inlineStr">
        <is>
          <t>Arsalan</t>
        </is>
      </c>
      <c r="I110" s="89" t="n">
        <v>46192</v>
      </c>
      <c r="J110" s="10" t="n"/>
    </row>
    <row r="111">
      <c r="A111" s="95" t="n">
        <v>109</v>
      </c>
      <c r="B111" s="17" t="inlineStr">
        <is>
          <t>Trimming</t>
        </is>
      </c>
      <c r="C111" s="16" t="inlineStr">
        <is>
          <t>Mechanical</t>
        </is>
      </c>
      <c r="D111" s="17" t="inlineStr">
        <is>
          <t>closure of chain/gears/pneumatic assembly with box</t>
        </is>
      </c>
      <c r="E111" s="12" t="inlineStr">
        <is>
          <t>High</t>
        </is>
      </c>
      <c r="F111" s="13" t="n">
        <v>0</v>
      </c>
      <c r="G111" s="15" t="inlineStr">
        <is>
          <t>Not Started</t>
        </is>
      </c>
      <c r="H111" s="15" t="inlineStr">
        <is>
          <t>Arsalan</t>
        </is>
      </c>
      <c r="I111" s="89" t="n">
        <v>46192</v>
      </c>
      <c r="J111" s="16" t="n"/>
    </row>
    <row r="112">
      <c r="A112" s="95" t="n">
        <v>110</v>
      </c>
      <c r="B112" s="11" t="inlineStr">
        <is>
          <t>Trimming</t>
        </is>
      </c>
      <c r="C112" s="10" t="inlineStr">
        <is>
          <t>Electrical</t>
        </is>
      </c>
      <c r="D112" s="11" t="inlineStr">
        <is>
          <t>closure of all cable trays/ panels</t>
        </is>
      </c>
      <c r="E112" s="12" t="inlineStr">
        <is>
          <t>High</t>
        </is>
      </c>
      <c r="F112" s="13" t="n">
        <v>0</v>
      </c>
      <c r="G112" s="15" t="inlineStr">
        <is>
          <t>Not Started</t>
        </is>
      </c>
      <c r="H112" s="15" t="inlineStr">
        <is>
          <t>Arsalan</t>
        </is>
      </c>
      <c r="I112" s="89" t="n">
        <v>46192</v>
      </c>
      <c r="J112" s="10" t="n"/>
    </row>
    <row r="113">
      <c r="A113" s="95" t="n">
        <v>111</v>
      </c>
      <c r="B113" s="11" t="inlineStr">
        <is>
          <t>Trimming</t>
        </is>
      </c>
      <c r="C113" s="10" t="inlineStr">
        <is>
          <t>Mechanical</t>
        </is>
      </c>
      <c r="D113" s="11" t="inlineStr">
        <is>
          <t>pneumatic pressure valve for ejector pressure to install</t>
        </is>
      </c>
      <c r="E113" s="12" t="inlineStr">
        <is>
          <t>High</t>
        </is>
      </c>
      <c r="F113" s="13" t="n">
        <v>0</v>
      </c>
      <c r="G113" s="15" t="inlineStr">
        <is>
          <t>Not Started</t>
        </is>
      </c>
      <c r="H113" s="15" t="inlineStr">
        <is>
          <t>Arsalan</t>
        </is>
      </c>
      <c r="I113" s="89" t="n">
        <v>46192</v>
      </c>
      <c r="J113" s="10" t="n"/>
    </row>
    <row r="114">
      <c r="A114" s="95" t="n">
        <v>112</v>
      </c>
      <c r="B114" s="17" t="inlineStr">
        <is>
          <t>Trimming</t>
        </is>
      </c>
      <c r="C114" s="16" t="inlineStr">
        <is>
          <t>Mechanical</t>
        </is>
      </c>
      <c r="D114" s="17" t="inlineStr">
        <is>
          <t>Installation of trimming blower</t>
        </is>
      </c>
      <c r="E114" s="12" t="inlineStr">
        <is>
          <t>High</t>
        </is>
      </c>
      <c r="F114" s="13" t="n">
        <v>0.6</v>
      </c>
      <c r="G114" s="79" t="inlineStr">
        <is>
          <t>Completed</t>
        </is>
      </c>
      <c r="H114" s="15" t="inlineStr">
        <is>
          <t>Arsalan</t>
        </is>
      </c>
      <c r="I114" s="89" t="n">
        <v>46192</v>
      </c>
      <c r="J114" s="16" t="n"/>
    </row>
    <row r="115">
      <c r="A115" s="95" t="n">
        <v>113</v>
      </c>
      <c r="B115" s="17" t="inlineStr">
        <is>
          <t>Trimming</t>
        </is>
      </c>
      <c r="C115" s="16" t="inlineStr">
        <is>
          <t>Mechanical</t>
        </is>
      </c>
      <c r="D115" s="17" t="inlineStr">
        <is>
          <t>Fixing of Manual Oil Lubrication System</t>
        </is>
      </c>
      <c r="E115" s="12" t="inlineStr">
        <is>
          <t>High</t>
        </is>
      </c>
      <c r="F115" s="13" t="n">
        <v>0</v>
      </c>
      <c r="G115" s="18" t="inlineStr">
        <is>
          <t>Not Started</t>
        </is>
      </c>
      <c r="H115" s="15" t="inlineStr">
        <is>
          <t>Arsalan</t>
        </is>
      </c>
      <c r="I115" s="89" t="n">
        <v>46192</v>
      </c>
      <c r="J115" s="16" t="n"/>
    </row>
    <row r="116" ht="25.5" customHeight="1">
      <c r="A116" s="95" t="n">
        <v>114</v>
      </c>
      <c r="B116" s="11" t="inlineStr">
        <is>
          <t>Trimming</t>
        </is>
      </c>
      <c r="C116" s="10" t="inlineStr">
        <is>
          <t>Mechanical</t>
        </is>
      </c>
      <c r="D116" s="11" t="inlineStr">
        <is>
          <t>Addition of closed cabinet for trim collection on machine side</t>
        </is>
      </c>
      <c r="E116" s="12" t="inlineStr">
        <is>
          <t>High</t>
        </is>
      </c>
      <c r="F116" s="13" t="n">
        <v>0.2</v>
      </c>
      <c r="G116" s="79" t="inlineStr">
        <is>
          <t>In Progress</t>
        </is>
      </c>
      <c r="H116" s="15" t="inlineStr">
        <is>
          <t>Arsalan</t>
        </is>
      </c>
      <c r="I116" s="89" t="n">
        <v>46192</v>
      </c>
      <c r="J116" s="10" t="n"/>
    </row>
    <row r="117">
      <c r="A117" s="95" t="n">
        <v>115</v>
      </c>
      <c r="B117" s="17" t="inlineStr">
        <is>
          <t>Trimming</t>
        </is>
      </c>
      <c r="C117" s="16" t="inlineStr">
        <is>
          <t>Mechanical</t>
        </is>
      </c>
      <c r="D117" s="17" t="inlineStr">
        <is>
          <t>Oiling / greasing / parts replacement / testing</t>
        </is>
      </c>
      <c r="E117" s="12" t="inlineStr">
        <is>
          <t>High</t>
        </is>
      </c>
      <c r="F117" s="13" t="n">
        <v>0.8</v>
      </c>
      <c r="G117" s="14" t="inlineStr">
        <is>
          <t>In Progress</t>
        </is>
      </c>
      <c r="H117" s="15" t="inlineStr">
        <is>
          <t>Arsalan</t>
        </is>
      </c>
      <c r="I117" s="89" t="n">
        <v>46192</v>
      </c>
      <c r="J117" s="16" t="n"/>
    </row>
    <row r="118">
      <c r="A118" s="95" t="n">
        <v>116</v>
      </c>
      <c r="B118" s="17" t="inlineStr">
        <is>
          <t>Washing</t>
        </is>
      </c>
      <c r="C118" s="16" t="inlineStr">
        <is>
          <t>Electrical</t>
        </is>
      </c>
      <c r="D118" s="17" t="inlineStr">
        <is>
          <t>Heaters to be checked and replaced if required</t>
        </is>
      </c>
      <c r="E118" s="19" t="inlineStr">
        <is>
          <t>High</t>
        </is>
      </c>
      <c r="F118" s="13" t="n">
        <v>0.5</v>
      </c>
      <c r="G118" s="79" t="inlineStr">
        <is>
          <t>In Progress</t>
        </is>
      </c>
      <c r="H118" s="15" t="inlineStr">
        <is>
          <t>Arsalan</t>
        </is>
      </c>
      <c r="I118" s="90" t="n">
        <v>46203</v>
      </c>
      <c r="J118" s="16" t="n"/>
    </row>
    <row r="119">
      <c r="A119" s="95" t="n">
        <v>117</v>
      </c>
      <c r="B119" s="17" t="inlineStr">
        <is>
          <t>Base Coat</t>
        </is>
      </c>
      <c r="C119" s="16" t="inlineStr">
        <is>
          <t>Mechanical</t>
        </is>
      </c>
      <c r="D119" s="17" t="inlineStr">
        <is>
          <t>Fumes collector piping to install</t>
        </is>
      </c>
      <c r="E119" s="20" t="inlineStr">
        <is>
          <t>Medium</t>
        </is>
      </c>
      <c r="F119" s="13" t="n">
        <v>0</v>
      </c>
      <c r="G119" s="14" t="inlineStr">
        <is>
          <t>Not Started</t>
        </is>
      </c>
      <c r="H119" s="80" t="inlineStr">
        <is>
          <t>Saqib</t>
        </is>
      </c>
      <c r="I119" s="90" t="n">
        <v>46193</v>
      </c>
      <c r="J119" s="16" t="n"/>
    </row>
    <row r="120">
      <c r="A120" s="95" t="n">
        <v>118</v>
      </c>
      <c r="B120" s="11" t="inlineStr">
        <is>
          <t>Over Varnish</t>
        </is>
      </c>
      <c r="C120" s="10" t="inlineStr">
        <is>
          <t>Mechanical</t>
        </is>
      </c>
      <c r="D120" s="11" t="inlineStr">
        <is>
          <t>Fumes collector piping to install</t>
        </is>
      </c>
      <c r="E120" s="19" t="inlineStr">
        <is>
          <t>High</t>
        </is>
      </c>
      <c r="F120" s="13" t="n">
        <v>0</v>
      </c>
      <c r="G120" s="18" t="inlineStr">
        <is>
          <t>Not Started</t>
        </is>
      </c>
      <c r="H120" s="80" t="inlineStr">
        <is>
          <t>Saqib</t>
        </is>
      </c>
      <c r="I120" s="90" t="n">
        <v>46193</v>
      </c>
      <c r="J120" s="10" t="n"/>
    </row>
    <row r="121">
      <c r="A121" s="95" t="n">
        <v>119</v>
      </c>
      <c r="B121" s="11" t="inlineStr">
        <is>
          <t>Base Coat</t>
        </is>
      </c>
      <c r="C121" s="10" t="inlineStr">
        <is>
          <t>Mechanical</t>
        </is>
      </c>
      <c r="D121" s="11" t="inlineStr">
        <is>
          <t>Rollers Housing — cleaned and greased</t>
        </is>
      </c>
      <c r="E121" s="20" t="inlineStr">
        <is>
          <t>Medium</t>
        </is>
      </c>
      <c r="F121" s="13" t="n">
        <v>1</v>
      </c>
      <c r="G121" s="82" t="inlineStr">
        <is>
          <t>Completed</t>
        </is>
      </c>
      <c r="H121" s="15" t="inlineStr">
        <is>
          <t>Saqib</t>
        </is>
      </c>
      <c r="I121" s="90" t="n">
        <v>46198</v>
      </c>
      <c r="J121" s="10" t="n"/>
    </row>
    <row r="122">
      <c r="A122" s="95" t="n">
        <v>120</v>
      </c>
      <c r="B122" s="17" t="inlineStr">
        <is>
          <t>Base Coat</t>
        </is>
      </c>
      <c r="C122" s="16" t="inlineStr">
        <is>
          <t>Mechanical</t>
        </is>
      </c>
      <c r="D122" s="17" t="inlineStr">
        <is>
          <t>Mandrels — cleaned</t>
        </is>
      </c>
      <c r="E122" s="20" t="inlineStr">
        <is>
          <t>Medium</t>
        </is>
      </c>
      <c r="F122" s="13" t="n">
        <v>1</v>
      </c>
      <c r="G122" s="82" t="inlineStr">
        <is>
          <t>Completed</t>
        </is>
      </c>
      <c r="H122" s="15" t="inlineStr">
        <is>
          <t>Saqib</t>
        </is>
      </c>
      <c r="I122" s="90" t="n">
        <v>46198</v>
      </c>
      <c r="J122" s="16" t="n"/>
    </row>
    <row r="123">
      <c r="A123" s="95" t="n">
        <v>121</v>
      </c>
      <c r="B123" s="11" t="inlineStr">
        <is>
          <t>Base Coat</t>
        </is>
      </c>
      <c r="C123" s="10" t="inlineStr">
        <is>
          <t>Mechanical</t>
        </is>
      </c>
      <c r="D123" s="11" t="inlineStr">
        <is>
          <t>Frame Body — cleaned</t>
        </is>
      </c>
      <c r="E123" s="12" t="inlineStr">
        <is>
          <t>Medium</t>
        </is>
      </c>
      <c r="F123" s="13" t="n">
        <v>0.8</v>
      </c>
      <c r="G123" s="80" t="inlineStr">
        <is>
          <t>In Progress</t>
        </is>
      </c>
      <c r="H123" s="15" t="inlineStr">
        <is>
          <t>Saqib</t>
        </is>
      </c>
      <c r="I123" s="90" t="n">
        <v>46198</v>
      </c>
      <c r="J123" s="10" t="n"/>
    </row>
    <row r="124">
      <c r="A124" s="95" t="n">
        <v>122</v>
      </c>
      <c r="B124" s="17" t="inlineStr">
        <is>
          <t>Base Coat</t>
        </is>
      </c>
      <c r="C124" s="16" t="inlineStr">
        <is>
          <t>Mechanical</t>
        </is>
      </c>
      <c r="D124" s="81" t="inlineStr">
        <is>
          <t xml:space="preserve">Spare Rubberize rollers </t>
        </is>
      </c>
      <c r="E124" s="20" t="inlineStr">
        <is>
          <t>High</t>
        </is>
      </c>
      <c r="F124" s="13" t="n">
        <v>0.5</v>
      </c>
      <c r="G124" s="14" t="inlineStr">
        <is>
          <t>In Progress</t>
        </is>
      </c>
      <c r="H124" s="15" t="inlineStr">
        <is>
          <t>Saqib</t>
        </is>
      </c>
      <c r="I124" s="90" t="n">
        <v>46198</v>
      </c>
      <c r="J124" s="16" t="n"/>
    </row>
    <row r="125" ht="25.5" customHeight="1">
      <c r="A125" s="95" t="n">
        <v>123</v>
      </c>
      <c r="B125" s="11" t="inlineStr">
        <is>
          <t>Base Coat</t>
        </is>
      </c>
      <c r="C125" s="10" t="inlineStr">
        <is>
          <t>Mechanical</t>
        </is>
      </c>
      <c r="D125" s="11" t="inlineStr">
        <is>
          <t>Air regulator pneumatic fitting to check and rectify and fixation</t>
        </is>
      </c>
      <c r="E125" s="19" t="inlineStr">
        <is>
          <t>Medium</t>
        </is>
      </c>
      <c r="F125" s="13" t="n">
        <v>0</v>
      </c>
      <c r="G125" s="15" t="inlineStr">
        <is>
          <t>Not Started</t>
        </is>
      </c>
      <c r="H125" s="15" t="inlineStr">
        <is>
          <t>Arsalan</t>
        </is>
      </c>
      <c r="I125" s="90" t="n">
        <v>46198</v>
      </c>
      <c r="J125" s="10" t="n"/>
    </row>
    <row r="126">
      <c r="A126" s="95" t="n">
        <v>124</v>
      </c>
      <c r="B126" s="17" t="inlineStr">
        <is>
          <t>Base Coat</t>
        </is>
      </c>
      <c r="C126" s="16" t="inlineStr">
        <is>
          <t>Mechanical</t>
        </is>
      </c>
      <c r="D126" s="81" t="inlineStr">
        <is>
          <t>driving gear chain box enclosure at back</t>
        </is>
      </c>
      <c r="E126" s="12" t="inlineStr">
        <is>
          <t>Medium</t>
        </is>
      </c>
      <c r="F126" s="13" t="n">
        <v>0</v>
      </c>
      <c r="G126" s="18" t="inlineStr">
        <is>
          <t>Not Started</t>
        </is>
      </c>
      <c r="H126" s="15" t="inlineStr">
        <is>
          <t>Arsalan</t>
        </is>
      </c>
      <c r="I126" s="90" t="n">
        <v>46198</v>
      </c>
      <c r="J126" s="16" t="n"/>
    </row>
    <row r="127">
      <c r="A127" s="95" t="n">
        <v>125</v>
      </c>
      <c r="B127" s="11" t="inlineStr">
        <is>
          <t>Base Coat</t>
        </is>
      </c>
      <c r="C127" s="10" t="inlineStr">
        <is>
          <t>Electrical</t>
        </is>
      </c>
      <c r="D127" s="11" t="inlineStr">
        <is>
          <t>closure of all cable trays/ panels</t>
        </is>
      </c>
      <c r="E127" s="19" t="inlineStr">
        <is>
          <t>Medium</t>
        </is>
      </c>
      <c r="F127" s="13" t="n">
        <v>0</v>
      </c>
      <c r="G127" s="18" t="inlineStr">
        <is>
          <t>Not Started</t>
        </is>
      </c>
      <c r="H127" s="15" t="inlineStr">
        <is>
          <t>Arsalan</t>
        </is>
      </c>
      <c r="I127" s="90" t="n">
        <v>46198</v>
      </c>
      <c r="J127" s="10" t="n"/>
    </row>
    <row r="128">
      <c r="A128" s="95" t="n">
        <v>126</v>
      </c>
      <c r="B128" s="17" t="inlineStr">
        <is>
          <t>Base Coat</t>
        </is>
      </c>
      <c r="C128" s="16" t="inlineStr">
        <is>
          <t>Mechanical</t>
        </is>
      </c>
      <c r="D128" s="17" t="inlineStr">
        <is>
          <t>Rawal bolts anchoring to be done on the foundation</t>
        </is>
      </c>
      <c r="E128" s="19" t="inlineStr">
        <is>
          <t>High</t>
        </is>
      </c>
      <c r="F128" s="13" t="n">
        <v>0</v>
      </c>
      <c r="G128" s="18" t="inlineStr">
        <is>
          <t>Not Started</t>
        </is>
      </c>
      <c r="H128" s="15" t="inlineStr">
        <is>
          <t>Arsalan</t>
        </is>
      </c>
      <c r="I128" s="90" t="n">
        <v>46198</v>
      </c>
      <c r="J128" s="16" t="n"/>
    </row>
    <row r="129">
      <c r="A129" s="95" t="n">
        <v>127</v>
      </c>
      <c r="B129" s="11" t="inlineStr">
        <is>
          <t>Over Varnish</t>
        </is>
      </c>
      <c r="C129" s="16" t="inlineStr">
        <is>
          <t>Mechanical</t>
        </is>
      </c>
      <c r="D129" s="81" t="inlineStr">
        <is>
          <t xml:space="preserve">Spare Rubberize rollers </t>
        </is>
      </c>
      <c r="E129" s="20" t="inlineStr">
        <is>
          <t>High</t>
        </is>
      </c>
      <c r="F129" s="13" t="n">
        <v>0.5</v>
      </c>
      <c r="G129" s="14" t="inlineStr">
        <is>
          <t>In Progress</t>
        </is>
      </c>
      <c r="H129" s="15" t="inlineStr">
        <is>
          <t>Saqib</t>
        </is>
      </c>
      <c r="I129" s="90" t="n">
        <v>46198</v>
      </c>
      <c r="J129" s="16" t="n"/>
    </row>
    <row r="130">
      <c r="A130" s="95" t="n">
        <v>128</v>
      </c>
      <c r="B130" s="11" t="inlineStr">
        <is>
          <t>Over Varnish</t>
        </is>
      </c>
      <c r="C130" s="16" t="inlineStr">
        <is>
          <t>Electrical</t>
        </is>
      </c>
      <c r="D130" s="17" t="inlineStr">
        <is>
          <t>closure of all cable trays/ panels</t>
        </is>
      </c>
      <c r="E130" s="19" t="inlineStr">
        <is>
          <t>High</t>
        </is>
      </c>
      <c r="F130" s="13" t="n">
        <v>0</v>
      </c>
      <c r="G130" s="18" t="inlineStr">
        <is>
          <t>Not Started</t>
        </is>
      </c>
      <c r="H130" s="15" t="inlineStr">
        <is>
          <t>Arsalan</t>
        </is>
      </c>
      <c r="I130" s="90" t="n">
        <v>46198</v>
      </c>
      <c r="J130" s="16" t="n"/>
    </row>
    <row r="131">
      <c r="A131" s="95" t="n">
        <v>129</v>
      </c>
      <c r="B131" s="11" t="inlineStr">
        <is>
          <t>Over Varnish</t>
        </is>
      </c>
      <c r="C131" s="10" t="inlineStr">
        <is>
          <t>Mechanical</t>
        </is>
      </c>
      <c r="D131" s="11" t="inlineStr">
        <is>
          <t>Rawal bolts anchoring to be done on the foundation</t>
        </is>
      </c>
      <c r="E131" s="21" t="inlineStr">
        <is>
          <t>High</t>
        </is>
      </c>
      <c r="F131" s="13" t="n">
        <v>0</v>
      </c>
      <c r="G131" s="18" t="inlineStr">
        <is>
          <t>Not Started</t>
        </is>
      </c>
      <c r="H131" s="15" t="inlineStr">
        <is>
          <t>Arsalan</t>
        </is>
      </c>
      <c r="I131" s="90" t="n">
        <v>46198</v>
      </c>
      <c r="J131" s="10" t="n"/>
    </row>
    <row r="132">
      <c r="A132" s="95" t="n">
        <v>130</v>
      </c>
      <c r="B132" s="11" t="inlineStr">
        <is>
          <t>Over Varnish</t>
        </is>
      </c>
      <c r="C132" s="16" t="inlineStr">
        <is>
          <t>Mechanical</t>
        </is>
      </c>
      <c r="D132" s="17" t="inlineStr">
        <is>
          <t>varnish pump placement and installation with piping</t>
        </is>
      </c>
      <c r="E132" s="19" t="inlineStr">
        <is>
          <t>High</t>
        </is>
      </c>
      <c r="F132" s="13" t="n">
        <v>0</v>
      </c>
      <c r="G132" s="18" t="inlineStr">
        <is>
          <t>Not Started</t>
        </is>
      </c>
      <c r="H132" s="15" t="inlineStr">
        <is>
          <t>Arsalan</t>
        </is>
      </c>
      <c r="I132" s="90" t="n">
        <v>46198</v>
      </c>
      <c r="J132" s="16" t="n"/>
    </row>
    <row r="133">
      <c r="A133" s="95" t="n">
        <v>131</v>
      </c>
      <c r="B133" s="11" t="inlineStr">
        <is>
          <t>Over Varnish</t>
        </is>
      </c>
      <c r="C133" s="10" t="inlineStr">
        <is>
          <t>General</t>
        </is>
      </c>
      <c r="D133" s="11" t="inlineStr">
        <is>
          <t>Printing Oven Dry run</t>
        </is>
      </c>
      <c r="E133" s="19" t="inlineStr">
        <is>
          <t>High</t>
        </is>
      </c>
      <c r="F133" s="13" t="n">
        <v>0</v>
      </c>
      <c r="G133" s="18" t="inlineStr">
        <is>
          <t>Not Started</t>
        </is>
      </c>
      <c r="H133" s="15" t="inlineStr">
        <is>
          <t>Arsalan</t>
        </is>
      </c>
      <c r="I133" s="90" t="n">
        <v>46198</v>
      </c>
      <c r="J133" s="10" t="n"/>
    </row>
    <row r="134">
      <c r="A134" s="95" t="n">
        <v>132</v>
      </c>
      <c r="B134" s="11" t="inlineStr">
        <is>
          <t>Over Varnish</t>
        </is>
      </c>
      <c r="C134" s="16" t="inlineStr">
        <is>
          <t>Electrical</t>
        </is>
      </c>
      <c r="D134" s="17" t="inlineStr">
        <is>
          <t>Motors checking and troubleshooting</t>
        </is>
      </c>
      <c r="E134" s="19" t="inlineStr">
        <is>
          <t>High</t>
        </is>
      </c>
      <c r="F134" s="13" t="n">
        <v>0.5</v>
      </c>
      <c r="G134" s="79" t="inlineStr">
        <is>
          <t>In Progress</t>
        </is>
      </c>
      <c r="H134" s="15" t="inlineStr">
        <is>
          <t>Arsalan</t>
        </is>
      </c>
      <c r="I134" s="90" t="n">
        <v>46198</v>
      </c>
      <c r="J134" s="16" t="n"/>
    </row>
    <row r="135">
      <c r="A135" s="95" t="n">
        <v>133</v>
      </c>
      <c r="B135" s="11" t="inlineStr">
        <is>
          <t>Over Varnish</t>
        </is>
      </c>
      <c r="C135" s="16" t="inlineStr">
        <is>
          <t>Mechanical</t>
        </is>
      </c>
      <c r="D135" s="17" t="inlineStr">
        <is>
          <t>Mandrels — cleaned</t>
        </is>
      </c>
      <c r="E135" s="12" t="inlineStr">
        <is>
          <t>High</t>
        </is>
      </c>
      <c r="F135" s="13" t="n">
        <v>1</v>
      </c>
      <c r="G135" s="79" t="inlineStr">
        <is>
          <t>Completed</t>
        </is>
      </c>
      <c r="H135" s="80" t="inlineStr">
        <is>
          <t>Saqib</t>
        </is>
      </c>
      <c r="I135" s="90" t="n">
        <v>46198</v>
      </c>
      <c r="J135" s="16" t="n"/>
    </row>
    <row r="136">
      <c r="A136" s="95" t="n">
        <v>134</v>
      </c>
      <c r="B136" s="11" t="inlineStr">
        <is>
          <t>Over Varnish</t>
        </is>
      </c>
      <c r="C136" s="10" t="inlineStr">
        <is>
          <t>Mechanical</t>
        </is>
      </c>
      <c r="D136" s="11" t="inlineStr">
        <is>
          <t>Rollers Housing — cleaned and greased</t>
        </is>
      </c>
      <c r="E136" s="12" t="inlineStr">
        <is>
          <t>High</t>
        </is>
      </c>
      <c r="F136" s="13" t="n">
        <v>1</v>
      </c>
      <c r="G136" s="79" t="inlineStr">
        <is>
          <t>Completed</t>
        </is>
      </c>
      <c r="H136" s="80" t="inlineStr">
        <is>
          <t>Saqib</t>
        </is>
      </c>
      <c r="I136" s="90" t="n">
        <v>46198</v>
      </c>
      <c r="J136" s="10" t="n"/>
    </row>
    <row r="137">
      <c r="A137" s="95" t="n">
        <v>135</v>
      </c>
      <c r="B137" s="11" t="inlineStr">
        <is>
          <t>Over Varnish</t>
        </is>
      </c>
      <c r="C137" s="16" t="inlineStr">
        <is>
          <t>Mechanical</t>
        </is>
      </c>
      <c r="D137" s="17" t="inlineStr">
        <is>
          <t>Frame Body — cleaned</t>
        </is>
      </c>
      <c r="E137" s="19" t="inlineStr">
        <is>
          <t>High</t>
        </is>
      </c>
      <c r="F137" s="13" t="n">
        <v>1</v>
      </c>
      <c r="G137" s="79" t="inlineStr">
        <is>
          <t>Completed</t>
        </is>
      </c>
      <c r="H137" s="80" t="inlineStr">
        <is>
          <t>Saqib</t>
        </is>
      </c>
      <c r="I137" s="90" t="n">
        <v>46198</v>
      </c>
      <c r="J137" s="16" t="n"/>
    </row>
    <row r="138">
      <c r="A138" s="95" t="n">
        <v>136</v>
      </c>
      <c r="B138" s="11" t="inlineStr">
        <is>
          <t>Base Coat</t>
        </is>
      </c>
      <c r="C138" s="10" t="inlineStr">
        <is>
          <t>Electrical</t>
        </is>
      </c>
      <c r="D138" s="11" t="inlineStr">
        <is>
          <t>PLC installation &amp; termination</t>
        </is>
      </c>
      <c r="E138" s="12" t="inlineStr">
        <is>
          <t>High</t>
        </is>
      </c>
      <c r="F138" s="13" t="n">
        <v>0.15</v>
      </c>
      <c r="G138" s="15" t="inlineStr">
        <is>
          <t>In Progress</t>
        </is>
      </c>
      <c r="H138" s="15" t="inlineStr">
        <is>
          <t>Arsalan</t>
        </is>
      </c>
      <c r="I138" s="90" t="n">
        <v>46198</v>
      </c>
      <c r="J138" s="10" t="n"/>
    </row>
    <row r="139">
      <c r="A139" s="95" t="n">
        <v>137</v>
      </c>
      <c r="B139" s="11" t="inlineStr">
        <is>
          <t>Over Varnish</t>
        </is>
      </c>
      <c r="C139" s="10" t="inlineStr">
        <is>
          <t>Electrical</t>
        </is>
      </c>
      <c r="D139" s="11" t="inlineStr">
        <is>
          <t>PLC installation &amp; termination</t>
        </is>
      </c>
      <c r="E139" s="12" t="inlineStr">
        <is>
          <t>High</t>
        </is>
      </c>
      <c r="F139" s="13" t="n">
        <v>0.15</v>
      </c>
      <c r="G139" s="15" t="inlineStr">
        <is>
          <t>In Progress</t>
        </is>
      </c>
      <c r="H139" s="15" t="inlineStr">
        <is>
          <t>Arsalan</t>
        </is>
      </c>
      <c r="I139" s="90" t="n">
        <v>46198</v>
      </c>
      <c r="J139" s="10" t="n"/>
    </row>
    <row r="140">
      <c r="A140" s="95" t="n">
        <v>138</v>
      </c>
      <c r="B140" s="11" t="inlineStr">
        <is>
          <t>Printing</t>
        </is>
      </c>
      <c r="C140" s="10" t="inlineStr">
        <is>
          <t>Electrical</t>
        </is>
      </c>
      <c r="D140" s="11" t="inlineStr">
        <is>
          <t>PLC installation &amp; termination</t>
        </is>
      </c>
      <c r="E140" s="12" t="inlineStr">
        <is>
          <t>High</t>
        </is>
      </c>
      <c r="F140" s="13" t="n">
        <v>0.15</v>
      </c>
      <c r="G140" s="15" t="inlineStr">
        <is>
          <t>In Progress</t>
        </is>
      </c>
      <c r="H140" s="15" t="inlineStr">
        <is>
          <t>Arsalan</t>
        </is>
      </c>
      <c r="I140" s="90" t="n">
        <v>46198</v>
      </c>
      <c r="J140" s="10" t="n"/>
    </row>
    <row r="141">
      <c r="A141" s="95" t="n">
        <v>139</v>
      </c>
      <c r="B141" s="17" t="inlineStr">
        <is>
          <t>Printing</t>
        </is>
      </c>
      <c r="C141" s="16" t="inlineStr">
        <is>
          <t>Mechanical</t>
        </is>
      </c>
      <c r="D141" s="17" t="inlineStr">
        <is>
          <t>Bearings — cleaning &amp; greasing</t>
        </is>
      </c>
      <c r="E141" s="12" t="inlineStr">
        <is>
          <t>High</t>
        </is>
      </c>
      <c r="F141" s="13" t="n">
        <v>1</v>
      </c>
      <c r="G141" s="26" t="inlineStr">
        <is>
          <t>Completed</t>
        </is>
      </c>
      <c r="H141" s="15" t="inlineStr">
        <is>
          <t>Saqib</t>
        </is>
      </c>
      <c r="I141" s="90" t="n">
        <v>46198</v>
      </c>
      <c r="J141" s="16" t="n"/>
    </row>
    <row r="142">
      <c r="A142" s="95" t="n">
        <v>140</v>
      </c>
      <c r="B142" s="11" t="inlineStr">
        <is>
          <t>Printing</t>
        </is>
      </c>
      <c r="C142" s="10" t="inlineStr">
        <is>
          <t>Mechanical</t>
        </is>
      </c>
      <c r="D142" s="11" t="inlineStr">
        <is>
          <t>Ink Fountain — cleaning</t>
        </is>
      </c>
      <c r="E142" s="12" t="inlineStr">
        <is>
          <t>High</t>
        </is>
      </c>
      <c r="F142" s="13" t="n">
        <v>1</v>
      </c>
      <c r="G142" s="26" t="inlineStr">
        <is>
          <t>Completed</t>
        </is>
      </c>
      <c r="H142" s="15" t="inlineStr">
        <is>
          <t>Saqib</t>
        </is>
      </c>
      <c r="I142" s="90" t="n">
        <v>46198</v>
      </c>
      <c r="J142" s="10" t="n"/>
    </row>
    <row r="143">
      <c r="A143" s="95" t="n">
        <v>141</v>
      </c>
      <c r="B143" s="17" t="inlineStr">
        <is>
          <t>Printing</t>
        </is>
      </c>
      <c r="C143" s="16" t="inlineStr">
        <is>
          <t>Mechanical</t>
        </is>
      </c>
      <c r="D143" s="17" t="inlineStr">
        <is>
          <t>Roller Train Frame — cleaning</t>
        </is>
      </c>
      <c r="E143" s="12" t="inlineStr">
        <is>
          <t>High</t>
        </is>
      </c>
      <c r="F143" s="13" t="n">
        <v>1</v>
      </c>
      <c r="G143" s="99" t="inlineStr">
        <is>
          <t>Completed</t>
        </is>
      </c>
      <c r="H143" s="15" t="inlineStr">
        <is>
          <t>Saqib</t>
        </is>
      </c>
      <c r="I143" s="90" t="n">
        <v>46198</v>
      </c>
      <c r="J143" s="16" t="n"/>
    </row>
    <row r="144">
      <c r="A144" s="95" t="n">
        <v>142</v>
      </c>
      <c r="B144" s="17" t="inlineStr">
        <is>
          <t>Printing</t>
        </is>
      </c>
      <c r="C144" s="16" t="inlineStr">
        <is>
          <t>Mechanical</t>
        </is>
      </c>
      <c r="D144" s="17" t="inlineStr">
        <is>
          <t>Dismantle all rollers for inspection &amp; Cleaning</t>
        </is>
      </c>
      <c r="E144" s="12" t="inlineStr">
        <is>
          <t>High</t>
        </is>
      </c>
      <c r="F144" s="13" t="n">
        <v>1</v>
      </c>
      <c r="G144" s="79" t="inlineStr">
        <is>
          <t>Completed</t>
        </is>
      </c>
      <c r="H144" s="15" t="inlineStr">
        <is>
          <t>Saqib</t>
        </is>
      </c>
      <c r="I144" s="90" t="n">
        <v>46198</v>
      </c>
      <c r="J144" s="16" t="n"/>
    </row>
    <row r="145" ht="25.5" customHeight="1">
      <c r="A145" s="95" t="n">
        <v>143</v>
      </c>
      <c r="B145" s="11" t="inlineStr">
        <is>
          <t>Tumbler</t>
        </is>
      </c>
      <c r="C145" s="10" t="inlineStr">
        <is>
          <t>Electrical</t>
        </is>
      </c>
      <c r="D145" s="11" t="inlineStr">
        <is>
          <t>Mixer installation and automation — auto feeding flow design</t>
        </is>
      </c>
      <c r="E145" s="20" t="inlineStr">
        <is>
          <t>Medium</t>
        </is>
      </c>
      <c r="F145" s="13" t="n">
        <v>0</v>
      </c>
      <c r="G145" s="18" t="inlineStr">
        <is>
          <t>Pending Procurement</t>
        </is>
      </c>
      <c r="H145" s="15" t="inlineStr">
        <is>
          <t>Arsalan</t>
        </is>
      </c>
      <c r="I145" s="90" t="n"/>
      <c r="J145" s="10" t="inlineStr">
        <is>
          <t>quotation awaiting for conveyor from Arsalan &amp; Lindsay</t>
        </is>
      </c>
    </row>
    <row r="146">
      <c r="A146" s="95" t="n">
        <v>144</v>
      </c>
      <c r="B146" s="17" t="inlineStr">
        <is>
          <t>Tumbler</t>
        </is>
      </c>
      <c r="C146" s="16" t="inlineStr">
        <is>
          <t>General</t>
        </is>
      </c>
      <c r="D146" s="17" t="inlineStr">
        <is>
          <t>Slug Mixing Unit Dry run</t>
        </is>
      </c>
      <c r="E146" s="20" t="inlineStr">
        <is>
          <t>Medium</t>
        </is>
      </c>
      <c r="F146" s="13" t="n">
        <v>1</v>
      </c>
      <c r="G146" s="18" t="inlineStr">
        <is>
          <t>Completed</t>
        </is>
      </c>
      <c r="H146" s="15" t="inlineStr">
        <is>
          <t>Arsalan</t>
        </is>
      </c>
      <c r="I146" s="90" t="n"/>
      <c r="J146" s="16" t="inlineStr">
        <is>
          <t>Working on its auto feeding system</t>
        </is>
      </c>
    </row>
    <row r="147">
      <c r="A147" s="95" t="n">
        <v>145</v>
      </c>
      <c r="B147" s="11" t="inlineStr">
        <is>
          <t>Tumbler</t>
        </is>
      </c>
      <c r="C147" s="16" t="inlineStr">
        <is>
          <t>Mechanical</t>
        </is>
      </c>
      <c r="D147" s="17" t="inlineStr">
        <is>
          <t>Tumbler/Mixer wiring and connections to be done</t>
        </is>
      </c>
      <c r="E147" s="20" t="inlineStr">
        <is>
          <t>High</t>
        </is>
      </c>
      <c r="F147" s="13" t="n">
        <v>0</v>
      </c>
      <c r="G147" s="18" t="inlineStr">
        <is>
          <t>Not Started</t>
        </is>
      </c>
      <c r="H147" s="15" t="inlineStr">
        <is>
          <t>Arsalan</t>
        </is>
      </c>
      <c r="I147" s="16" t="n"/>
      <c r="J147" s="16" t="n"/>
    </row>
    <row r="148">
      <c r="A148" s="95" t="n">
        <v>146</v>
      </c>
      <c r="B148" s="17" t="inlineStr">
        <is>
          <t>Tumbler</t>
        </is>
      </c>
      <c r="C148" s="16" t="inlineStr">
        <is>
          <t>Electrical</t>
        </is>
      </c>
      <c r="D148" s="17" t="inlineStr">
        <is>
          <t>Main motor testing</t>
        </is>
      </c>
      <c r="E148" s="20" t="inlineStr">
        <is>
          <t>High</t>
        </is>
      </c>
      <c r="F148" s="13" t="n">
        <v>1</v>
      </c>
      <c r="G148" s="18" t="inlineStr">
        <is>
          <t>Completed</t>
        </is>
      </c>
      <c r="H148" s="15" t="inlineStr">
        <is>
          <t>Arsalan</t>
        </is>
      </c>
      <c r="I148" s="16" t="n"/>
      <c r="J148" s="16" t="n"/>
    </row>
    <row r="149">
      <c r="A149" s="95" t="n">
        <v>147</v>
      </c>
      <c r="B149" s="11" t="inlineStr">
        <is>
          <t>Tumbler</t>
        </is>
      </c>
      <c r="C149" s="10" t="inlineStr">
        <is>
          <t>Mechanical</t>
        </is>
      </c>
      <c r="D149" s="11" t="inlineStr">
        <is>
          <t>Tumbler/Mixer installation on platform</t>
        </is>
      </c>
      <c r="E149" s="20" t="inlineStr">
        <is>
          <t>High</t>
        </is>
      </c>
      <c r="F149" s="13" t="n">
        <v>0.3</v>
      </c>
      <c r="G149" s="79" t="inlineStr">
        <is>
          <t>In Progress</t>
        </is>
      </c>
      <c r="H149" s="15" t="inlineStr">
        <is>
          <t>Arsalan</t>
        </is>
      </c>
      <c r="I149" s="10" t="n"/>
      <c r="J149" s="10" t="n"/>
    </row>
    <row r="150">
      <c r="A150" s="95" t="n">
        <v>148</v>
      </c>
      <c r="B150" s="11" t="inlineStr">
        <is>
          <t>Printing</t>
        </is>
      </c>
      <c r="C150" s="10" t="inlineStr">
        <is>
          <t>Electrical</t>
        </is>
      </c>
      <c r="D150" s="11" t="inlineStr">
        <is>
          <t>Servo motor troubleshooting</t>
        </is>
      </c>
      <c r="E150" s="12" t="inlineStr">
        <is>
          <t>High</t>
        </is>
      </c>
      <c r="F150" s="13" t="n">
        <v>0</v>
      </c>
      <c r="G150" s="22" t="inlineStr">
        <is>
          <t>Not Started</t>
        </is>
      </c>
      <c r="H150" s="15" t="inlineStr">
        <is>
          <t>Arsalan</t>
        </is>
      </c>
      <c r="I150" s="90" t="n">
        <v>46198</v>
      </c>
      <c r="J150" s="10" t="n"/>
    </row>
    <row r="151">
      <c r="A151" s="95" t="n">
        <v>149</v>
      </c>
      <c r="B151" s="17" t="inlineStr">
        <is>
          <t>Printing</t>
        </is>
      </c>
      <c r="C151" s="16" t="inlineStr">
        <is>
          <t>Mechanical</t>
        </is>
      </c>
      <c r="D151" s="17" t="inlineStr">
        <is>
          <t>Aluminum oil tank — fabricate &amp; install</t>
        </is>
      </c>
      <c r="E151" s="12" t="inlineStr">
        <is>
          <t>High</t>
        </is>
      </c>
      <c r="F151" s="13" t="n">
        <v>0</v>
      </c>
      <c r="G151" s="15" t="inlineStr">
        <is>
          <t>Not Started</t>
        </is>
      </c>
      <c r="H151" s="80" t="inlineStr">
        <is>
          <t>Saqib</t>
        </is>
      </c>
      <c r="I151" s="90" t="n">
        <v>46198</v>
      </c>
      <c r="J151" s="16" t="n"/>
    </row>
    <row r="152">
      <c r="A152" s="95" t="n">
        <v>150</v>
      </c>
      <c r="B152" s="11" t="inlineStr">
        <is>
          <t>Printing</t>
        </is>
      </c>
      <c r="C152" s="10" t="inlineStr">
        <is>
          <t>Electrical</t>
        </is>
      </c>
      <c r="D152" s="11" t="inlineStr">
        <is>
          <t>closure of all cable trays/ panels</t>
        </is>
      </c>
      <c r="E152" s="12" t="inlineStr">
        <is>
          <t>High</t>
        </is>
      </c>
      <c r="F152" s="13" t="n">
        <v>0</v>
      </c>
      <c r="G152" s="15" t="inlineStr">
        <is>
          <t>Not Started</t>
        </is>
      </c>
      <c r="H152" s="15" t="inlineStr">
        <is>
          <t>Arsalan</t>
        </is>
      </c>
      <c r="I152" s="90" t="n">
        <v>46198</v>
      </c>
      <c r="J152" s="10" t="n"/>
    </row>
    <row r="153">
      <c r="A153" s="95" t="n">
        <v>151</v>
      </c>
      <c r="B153" s="17" t="inlineStr">
        <is>
          <t>Printing</t>
        </is>
      </c>
      <c r="C153" s="16" t="inlineStr">
        <is>
          <t>Mechanical</t>
        </is>
      </c>
      <c r="D153" s="17" t="inlineStr">
        <is>
          <t>Rawlbolts anchoring to be done on the foundation</t>
        </is>
      </c>
      <c r="E153" s="12" t="inlineStr">
        <is>
          <t>High</t>
        </is>
      </c>
      <c r="F153" s="13" t="n">
        <v>0</v>
      </c>
      <c r="G153" s="15" t="inlineStr">
        <is>
          <t>Not Started</t>
        </is>
      </c>
      <c r="H153" s="15" t="inlineStr">
        <is>
          <t>Arsalan</t>
        </is>
      </c>
      <c r="I153" s="90" t="n">
        <v>46198</v>
      </c>
      <c r="J153" s="16" t="n"/>
    </row>
    <row r="154">
      <c r="A154" s="95" t="n">
        <v>152</v>
      </c>
      <c r="B154" s="11" t="inlineStr">
        <is>
          <t>Printing</t>
        </is>
      </c>
      <c r="C154" s="10" t="inlineStr">
        <is>
          <t>General</t>
        </is>
      </c>
      <c r="D154" s="11" t="inlineStr">
        <is>
          <t>Printing Machine Dry run</t>
        </is>
      </c>
      <c r="E154" s="12" t="inlineStr">
        <is>
          <t>High</t>
        </is>
      </c>
      <c r="F154" s="13" t="n">
        <v>0</v>
      </c>
      <c r="G154" s="15" t="inlineStr">
        <is>
          <t>Not Started</t>
        </is>
      </c>
      <c r="H154" s="15" t="inlineStr">
        <is>
          <t>Arsalan</t>
        </is>
      </c>
      <c r="I154" s="90" t="n">
        <v>46198</v>
      </c>
      <c r="J154" s="10" t="n"/>
    </row>
    <row r="155">
      <c r="A155" s="95" t="n">
        <v>153</v>
      </c>
      <c r="B155" s="17" t="inlineStr">
        <is>
          <t>Washing</t>
        </is>
      </c>
      <c r="C155" s="16" t="inlineStr">
        <is>
          <t>Mechanical</t>
        </is>
      </c>
      <c r="D155" s="17" t="inlineStr">
        <is>
          <t>Washing machine piping and blower installation</t>
        </is>
      </c>
      <c r="E155" s="20" t="inlineStr">
        <is>
          <t>High</t>
        </is>
      </c>
      <c r="F155" s="13" t="n">
        <v>0.2</v>
      </c>
      <c r="G155" s="14" t="inlineStr">
        <is>
          <t>In Progress</t>
        </is>
      </c>
      <c r="H155" s="15" t="inlineStr">
        <is>
          <t>Arsalan</t>
        </is>
      </c>
      <c r="I155" s="90" t="n">
        <v>46203</v>
      </c>
      <c r="J155" s="16" t="n"/>
    </row>
    <row r="156">
      <c r="A156" s="95" t="n">
        <v>154</v>
      </c>
      <c r="B156" s="11" t="inlineStr">
        <is>
          <t>Washing</t>
        </is>
      </c>
      <c r="C156" s="10" t="inlineStr">
        <is>
          <t>Mechanical</t>
        </is>
      </c>
      <c r="D156" s="11" t="inlineStr">
        <is>
          <t>Washing unit drain flexible pipes after tank installation</t>
        </is>
      </c>
      <c r="E156" s="19" t="inlineStr">
        <is>
          <t>High</t>
        </is>
      </c>
      <c r="F156" s="13" t="n">
        <v>0</v>
      </c>
      <c r="G156" s="14" t="inlineStr">
        <is>
          <t>Not Started</t>
        </is>
      </c>
      <c r="H156" s="15" t="inlineStr">
        <is>
          <t>Arsalan</t>
        </is>
      </c>
      <c r="I156" s="90" t="n">
        <v>46203</v>
      </c>
      <c r="J156" s="10" t="n"/>
    </row>
    <row r="157">
      <c r="A157" s="95" t="n">
        <v>155</v>
      </c>
      <c r="B157" s="17" t="inlineStr">
        <is>
          <t>Washing</t>
        </is>
      </c>
      <c r="C157" s="16" t="inlineStr">
        <is>
          <t>Mechanical</t>
        </is>
      </c>
      <c r="D157" s="17" t="inlineStr">
        <is>
          <t>Washing Machine Dry run</t>
        </is>
      </c>
      <c r="E157" s="19" t="inlineStr">
        <is>
          <t>High</t>
        </is>
      </c>
      <c r="F157" s="13" t="n">
        <v>0</v>
      </c>
      <c r="G157" s="18" t="inlineStr">
        <is>
          <t>Not Started</t>
        </is>
      </c>
      <c r="H157" s="15" t="inlineStr">
        <is>
          <t>Arsalan</t>
        </is>
      </c>
      <c r="I157" s="90" t="n">
        <v>46203</v>
      </c>
      <c r="J157" s="16" t="n"/>
    </row>
    <row r="158" ht="25.5" customHeight="1">
      <c r="A158" s="95" t="n">
        <v>156</v>
      </c>
      <c r="B158" s="17" t="inlineStr">
        <is>
          <t>Washing</t>
        </is>
      </c>
      <c r="C158" s="16" t="inlineStr">
        <is>
          <t>Electrical</t>
        </is>
      </c>
      <c r="D158" s="17" t="inlineStr">
        <is>
          <t>Electrical Operating control panel to be relocated from trimming to washing</t>
        </is>
      </c>
      <c r="E158" s="19" t="inlineStr">
        <is>
          <t>High</t>
        </is>
      </c>
      <c r="F158" s="13" t="n">
        <v>0</v>
      </c>
      <c r="G158" s="14" t="inlineStr">
        <is>
          <t>Not Started</t>
        </is>
      </c>
      <c r="H158" s="15" t="inlineStr">
        <is>
          <t>Arsalan</t>
        </is>
      </c>
      <c r="I158" s="90" t="n">
        <v>46203</v>
      </c>
      <c r="J158" s="16" t="n"/>
    </row>
    <row r="159">
      <c r="A159" s="95" t="n">
        <v>157</v>
      </c>
      <c r="B159" s="11" t="inlineStr">
        <is>
          <t>Washing</t>
        </is>
      </c>
      <c r="C159" s="10" t="inlineStr">
        <is>
          <t>Mechanical</t>
        </is>
      </c>
      <c r="D159" s="11" t="inlineStr">
        <is>
          <t>pressure gauge to install on rinse recycle loop pipes</t>
        </is>
      </c>
      <c r="E159" s="19" t="inlineStr">
        <is>
          <t>High</t>
        </is>
      </c>
      <c r="F159" s="13" t="n">
        <v>0</v>
      </c>
      <c r="G159" s="14" t="inlineStr">
        <is>
          <t>Not Started</t>
        </is>
      </c>
      <c r="H159" s="15" t="inlineStr">
        <is>
          <t>Arsalan</t>
        </is>
      </c>
      <c r="I159" s="90" t="n">
        <v>46203</v>
      </c>
      <c r="J159" s="10" t="n"/>
    </row>
    <row r="160" ht="25.5" customHeight="1">
      <c r="A160" s="95" t="n">
        <v>158</v>
      </c>
      <c r="B160" s="17" t="inlineStr">
        <is>
          <t>Washing</t>
        </is>
      </c>
      <c r="C160" s="16" t="inlineStr">
        <is>
          <t>Mechanical</t>
        </is>
      </c>
      <c r="D160" s="17" t="inlineStr">
        <is>
          <t>contamination/ fumes collector to be checked and installed on top</t>
        </is>
      </c>
      <c r="E160" s="19" t="inlineStr">
        <is>
          <t>High</t>
        </is>
      </c>
      <c r="F160" s="13" t="n">
        <v>0</v>
      </c>
      <c r="G160" s="14" t="inlineStr">
        <is>
          <t>Not Started</t>
        </is>
      </c>
      <c r="H160" s="15" t="inlineStr">
        <is>
          <t>Arsalan</t>
        </is>
      </c>
      <c r="I160" s="90" t="n">
        <v>46203</v>
      </c>
      <c r="J160" s="16" t="n"/>
    </row>
    <row r="161">
      <c r="A161" s="95" t="n">
        <v>159</v>
      </c>
      <c r="B161" s="11" t="inlineStr">
        <is>
          <t>Washing</t>
        </is>
      </c>
      <c r="C161" s="10" t="inlineStr">
        <is>
          <t>Mechanical</t>
        </is>
      </c>
      <c r="D161" s="11" t="inlineStr">
        <is>
          <t xml:space="preserve">to install Pvc &amp; wire brush on washing chain at top </t>
        </is>
      </c>
      <c r="E161" s="19" t="inlineStr">
        <is>
          <t>High</t>
        </is>
      </c>
      <c r="F161" s="13" t="n">
        <v>0</v>
      </c>
      <c r="G161" s="18" t="inlineStr">
        <is>
          <t>Not Started</t>
        </is>
      </c>
      <c r="H161" s="15" t="inlineStr">
        <is>
          <t>Arsalan</t>
        </is>
      </c>
      <c r="I161" s="90" t="n">
        <v>46203</v>
      </c>
      <c r="J161" s="10" t="n"/>
    </row>
    <row r="162">
      <c r="A162" s="95" t="n">
        <v>160</v>
      </c>
      <c r="B162" s="11" t="inlineStr">
        <is>
          <t>Washing</t>
        </is>
      </c>
      <c r="C162" s="10" t="inlineStr">
        <is>
          <t>Mechanical</t>
        </is>
      </c>
      <c r="D162" s="11" t="inlineStr">
        <is>
          <t>Spray and Drying section's windows to be installed</t>
        </is>
      </c>
      <c r="E162" s="19" t="inlineStr">
        <is>
          <t>High</t>
        </is>
      </c>
      <c r="F162" s="13" t="n">
        <v>0</v>
      </c>
      <c r="G162" s="22" t="inlineStr">
        <is>
          <t>Not Started</t>
        </is>
      </c>
      <c r="H162" s="15" t="inlineStr">
        <is>
          <t>Arsalan</t>
        </is>
      </c>
      <c r="I162" s="90" t="n">
        <v>46203</v>
      </c>
      <c r="J162" s="10" t="n"/>
    </row>
    <row r="163">
      <c r="A163" s="95" t="n">
        <v>161</v>
      </c>
      <c r="B163" s="11" t="inlineStr">
        <is>
          <t>Washing</t>
        </is>
      </c>
      <c r="C163" s="10" t="inlineStr">
        <is>
          <t>Mechanical</t>
        </is>
      </c>
      <c r="D163" s="11" t="inlineStr">
        <is>
          <t>Rinsing Recycling Tank — recoating &amp; cleaning</t>
        </is>
      </c>
      <c r="E163" s="19" t="inlineStr">
        <is>
          <t>High</t>
        </is>
      </c>
      <c r="F163" s="13" t="n">
        <v>0.5</v>
      </c>
      <c r="G163" s="14" t="inlineStr">
        <is>
          <t>In Progress</t>
        </is>
      </c>
      <c r="H163" s="15" t="inlineStr">
        <is>
          <t>Saqib</t>
        </is>
      </c>
      <c r="I163" s="90" t="n">
        <v>46203</v>
      </c>
      <c r="J163" s="10" t="n"/>
    </row>
    <row r="164">
      <c r="A164" s="95" t="n">
        <v>162</v>
      </c>
      <c r="B164" s="17" t="inlineStr">
        <is>
          <t>Washing</t>
        </is>
      </c>
      <c r="C164" s="16" t="inlineStr">
        <is>
          <t>Mechanical</t>
        </is>
      </c>
      <c r="D164" s="17" t="inlineStr">
        <is>
          <t>Spraying Jets Section — cleaning / scraping</t>
        </is>
      </c>
      <c r="E164" s="19" t="inlineStr">
        <is>
          <t>High</t>
        </is>
      </c>
      <c r="F164" s="13" t="n">
        <v>0.5</v>
      </c>
      <c r="G164" s="15" t="inlineStr">
        <is>
          <t>In Progress</t>
        </is>
      </c>
      <c r="H164" s="80" t="inlineStr">
        <is>
          <t>Saqib</t>
        </is>
      </c>
      <c r="I164" s="90" t="n">
        <v>46203</v>
      </c>
      <c r="J164" s="16" t="n"/>
    </row>
    <row r="165">
      <c r="A165" s="95" t="n">
        <v>163</v>
      </c>
      <c r="B165" s="17" t="inlineStr">
        <is>
          <t>Washing</t>
        </is>
      </c>
      <c r="C165" s="16" t="inlineStr">
        <is>
          <t>Electrical</t>
        </is>
      </c>
      <c r="D165" s="81" t="inlineStr">
        <is>
          <t xml:space="preserve">Heaters to be Replaced </t>
        </is>
      </c>
      <c r="E165" s="19" t="inlineStr">
        <is>
          <t>High</t>
        </is>
      </c>
      <c r="F165" s="13" t="n">
        <v>0</v>
      </c>
      <c r="G165" s="79" t="inlineStr">
        <is>
          <t>In Progress</t>
        </is>
      </c>
      <c r="H165" s="80" t="inlineStr">
        <is>
          <t>Arsalan</t>
        </is>
      </c>
      <c r="I165" s="90" t="n">
        <v>46203</v>
      </c>
      <c r="J165" s="16" t="n"/>
    </row>
    <row r="166">
      <c r="A166" s="95" t="n">
        <v>164</v>
      </c>
      <c r="B166" s="11" t="inlineStr">
        <is>
          <t>Washing</t>
        </is>
      </c>
      <c r="C166" s="10" t="inlineStr">
        <is>
          <t>Mechanical</t>
        </is>
      </c>
      <c r="D166" s="11" t="inlineStr">
        <is>
          <t>All gears greasing</t>
        </is>
      </c>
      <c r="E166" s="19" t="inlineStr">
        <is>
          <t>High</t>
        </is>
      </c>
      <c r="F166" s="13" t="n">
        <v>1</v>
      </c>
      <c r="G166" s="18" t="inlineStr">
        <is>
          <t>Completed</t>
        </is>
      </c>
      <c r="H166" s="15" t="inlineStr">
        <is>
          <t>Arsalan</t>
        </is>
      </c>
      <c r="I166" s="90" t="n">
        <v>46203</v>
      </c>
      <c r="J166" s="10" t="n"/>
    </row>
    <row r="167">
      <c r="A167" s="95" t="n">
        <v>165</v>
      </c>
      <c r="B167" s="17" t="inlineStr">
        <is>
          <t>Washing</t>
        </is>
      </c>
      <c r="C167" s="16" t="inlineStr">
        <is>
          <t>Mechanical</t>
        </is>
      </c>
      <c r="D167" s="17" t="inlineStr">
        <is>
          <t>Gears alignment</t>
        </is>
      </c>
      <c r="E167" s="19" t="inlineStr">
        <is>
          <t>High</t>
        </is>
      </c>
      <c r="F167" s="13" t="n">
        <v>0.5</v>
      </c>
      <c r="G167" s="18" t="inlineStr">
        <is>
          <t>Completed</t>
        </is>
      </c>
      <c r="H167" s="15" t="inlineStr">
        <is>
          <t>Arsalan</t>
        </is>
      </c>
      <c r="I167" s="90" t="n">
        <v>46203</v>
      </c>
      <c r="J167" s="16" t="n"/>
    </row>
    <row r="168" ht="25.5" customHeight="1">
      <c r="A168" s="95" t="n">
        <v>166</v>
      </c>
      <c r="B168" s="91" t="inlineStr">
        <is>
          <t>Washing</t>
        </is>
      </c>
      <c r="C168" s="92" t="inlineStr">
        <is>
          <t>Mechanical</t>
        </is>
      </c>
      <c r="D168" s="91" t="inlineStr">
        <is>
          <t>Separate storage tanks installation(detergent / cold / hot water)</t>
        </is>
      </c>
      <c r="E168" s="93" t="inlineStr">
        <is>
          <t>High</t>
        </is>
      </c>
      <c r="F168" s="13" t="n">
        <v>0</v>
      </c>
      <c r="G168" s="15" t="inlineStr">
        <is>
          <t>Not Started</t>
        </is>
      </c>
      <c r="H168" s="15" t="inlineStr">
        <is>
          <t>Saqib</t>
        </is>
      </c>
      <c r="I168" s="90" t="n">
        <v>46203</v>
      </c>
      <c r="J168" s="94" t="n"/>
    </row>
    <row r="169">
      <c r="I169" s="90" t="n"/>
    </row>
    <row r="170">
      <c r="B170" s="88" t="inlineStr">
        <is>
          <t>`</t>
        </is>
      </c>
    </row>
  </sheetData>
  <mergeCells count="1">
    <mergeCell ref="A1:I1"/>
  </mergeCells>
  <conditionalFormatting sqref="E3:E206">
    <cfRule type="expression" priority="7" dxfId="7">
      <formula>$E3="High"</formula>
    </cfRule>
    <cfRule type="expression" priority="8" dxfId="6">
      <formula>$E3="Medium"</formula>
    </cfRule>
    <cfRule type="expression" priority="9" dxfId="5">
      <formula>$E3="Low"</formula>
    </cfRule>
  </conditionalFormatting>
  <conditionalFormatting sqref="F4:F27 F140:F168">
    <cfRule type="dataBar" priority="135">
      <dataBar>
        <cfvo type="num" val="0"/>
        <cfvo type="num" val="1"/>
        <color rgb="FF4472C4"/>
      </dataBar>
    </cfRule>
  </conditionalFormatting>
  <conditionalFormatting sqref="F13">
    <cfRule type="dataBar" priority="126">
      <dataBar>
        <cfvo type="num" val="0"/>
        <cfvo type="num" val="1"/>
        <color rgb="FF4472C4"/>
      </dataBar>
    </cfRule>
  </conditionalFormatting>
  <conditionalFormatting sqref="F28">
    <cfRule type="dataBar" priority="47">
      <dataBar>
        <cfvo type="num" val="0"/>
        <cfvo type="num" val="1"/>
        <color rgb="FF4472C4"/>
      </dataBar>
    </cfRule>
  </conditionalFormatting>
  <conditionalFormatting sqref="F29">
    <cfRule type="dataBar" priority="38">
      <dataBar>
        <cfvo type="num" val="0"/>
        <cfvo type="num" val="1"/>
        <color rgb="FF4472C4"/>
      </dataBar>
    </cfRule>
  </conditionalFormatting>
  <conditionalFormatting sqref="F30">
    <cfRule type="dataBar" priority="29">
      <dataBar>
        <cfvo type="num" val="0"/>
        <cfvo type="num" val="1"/>
        <color rgb="FF4472C4"/>
      </dataBar>
    </cfRule>
  </conditionalFormatting>
  <conditionalFormatting sqref="F3 F31:F137">
    <cfRule type="dataBar" priority="56">
      <dataBar>
        <cfvo type="num" val="0"/>
        <cfvo type="num" val="1"/>
        <color rgb="FF4472C4"/>
      </dataBar>
    </cfRule>
  </conditionalFormatting>
  <conditionalFormatting sqref="F111">
    <cfRule type="dataBar" priority="109">
      <dataBar>
        <cfvo type="num" val="0"/>
        <cfvo type="num" val="1"/>
        <color rgb="FF4472C4"/>
      </dataBar>
    </cfRule>
  </conditionalFormatting>
  <conditionalFormatting sqref="F112">
    <cfRule type="dataBar" priority="100">
      <dataBar>
        <cfvo type="num" val="0"/>
        <cfvo type="num" val="1"/>
        <color rgb="FF4472C4"/>
      </dataBar>
    </cfRule>
  </conditionalFormatting>
  <conditionalFormatting sqref="F126">
    <cfRule type="dataBar" priority="58">
      <dataBar>
        <cfvo type="num" val="0"/>
        <cfvo type="num" val="1"/>
        <color rgb="FF4472C4"/>
      </dataBar>
    </cfRule>
  </conditionalFormatting>
  <conditionalFormatting sqref="F127:F137 F140:F153">
    <cfRule type="dataBar" priority="57">
      <dataBar>
        <cfvo type="num" val="0"/>
        <cfvo type="num" val="1"/>
        <color rgb="FF4472C4"/>
      </dataBar>
    </cfRule>
  </conditionalFormatting>
  <conditionalFormatting sqref="F138">
    <cfRule type="dataBar" priority="1">
      <dataBar>
        <cfvo type="num" val="0"/>
        <cfvo type="num" val="1"/>
        <color rgb="FF4472C4"/>
      </dataBar>
    </cfRule>
    <cfRule type="dataBar" priority="10">
      <dataBar>
        <cfvo type="num" val="0"/>
        <cfvo type="num" val="1"/>
        <color rgb="FF4472C4"/>
      </dataBar>
    </cfRule>
  </conditionalFormatting>
  <conditionalFormatting sqref="F139">
    <cfRule type="dataBar" priority="11">
      <dataBar>
        <cfvo type="num" val="0"/>
        <cfvo type="num" val="1"/>
        <color rgb="FF4472C4"/>
      </dataBar>
    </cfRule>
    <cfRule type="dataBar" priority="20">
      <dataBar>
        <cfvo type="num" val="0"/>
        <cfvo type="num" val="1"/>
        <color rgb="FF4472C4"/>
      </dataBar>
    </cfRule>
  </conditionalFormatting>
  <conditionalFormatting sqref="G3:H206">
    <cfRule type="expression" priority="2" dxfId="4">
      <formula>$G3="Completed"</formula>
    </cfRule>
    <cfRule type="expression" priority="3" dxfId="3">
      <formula>$G3="In Progress"</formula>
    </cfRule>
    <cfRule type="expression" priority="4" dxfId="2">
      <formula>$G3="Not Started"</formula>
    </cfRule>
    <cfRule type="expression" priority="5" dxfId="1">
      <formula>$G3="Blocked"</formula>
    </cfRule>
    <cfRule type="expression" priority="6" dxfId="0">
      <formula>$G3="Pending Procurement"</formula>
    </cfRule>
  </conditionalFormatting>
  <dataValidations count="4">
    <dataValidation sqref="C3:C206" showDropDown="0" showInputMessage="0" showErrorMessage="0" allowBlank="1" type="list">
      <formula1>"Electrical,Mechanical"</formula1>
      <formula2>0</formula2>
    </dataValidation>
    <dataValidation sqref="E3:E206" showDropDown="0" showInputMessage="0" showErrorMessage="0" allowBlank="1" type="list">
      <formula1>"High,Medium,Low"</formula1>
      <formula2>0</formula2>
    </dataValidation>
    <dataValidation sqref="G3:G206" showDropDown="0" showInputMessage="0" showErrorMessage="0" allowBlank="1" type="list">
      <formula1>"Not Started,In Progress,Completed,Blocked,Pending Procurement"</formula1>
      <formula2>0</formula2>
    </dataValidation>
    <dataValidation sqref="B3:B1002" showDropDown="0" showInputMessage="0" showErrorMessage="0" allowBlank="1" type="list">
      <formula1>"Press,Trimming,Washing,Lacquer,Lacquer Oven,Base Coat,Printing,Decoration Oven,Over Varnish,Necking,Accumulator,Tumbler,Compressor,FG Conveyor,Auto Strapping Machine,Manual Strapping Machine,Overall Machine Operation,Main Power Distribution,General"</formula1>
    </dataValidation>
  </dataValidations>
  <hyperlinks>
    <hyperlink xmlns:r="http://schemas.openxmlformats.org/officeDocument/2006/relationships" ref="J1" location="DASHBOARD!B1" r:id="rId1"/>
  </hyperlink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6"/>
  <sheetViews>
    <sheetView showGridLines="0" topLeftCell="A4" zoomScaleNormal="100" workbookViewId="0">
      <selection activeCell="B11" sqref="B11"/>
    </sheetView>
  </sheetViews>
  <sheetFormatPr baseColWidth="8" defaultColWidth="8.7109375" defaultRowHeight="15"/>
  <cols>
    <col width="3" customWidth="1" min="1" max="1"/>
    <col width="28" customWidth="1" min="2" max="2"/>
    <col width="62" customWidth="1" min="3" max="3"/>
  </cols>
  <sheetData>
    <row r="1" ht="30" customHeight="1">
      <c r="B1" s="106" t="inlineStr">
        <is>
          <t>HOW TO UPDATE — QUICK GUIDE</t>
        </is>
      </c>
    </row>
    <row r="2" ht="24" customHeight="1">
      <c r="B2" s="27" t="inlineStr">
        <is>
          <t>COLUMN / STEP</t>
        </is>
      </c>
      <c r="C2" s="27" t="inlineStr">
        <is>
          <t>INSTRUCTION</t>
        </is>
      </c>
    </row>
    <row r="3" ht="27.75" customHeight="1">
      <c r="B3" s="28" t="inlineStr">
        <is>
          <t>COLUMN</t>
        </is>
      </c>
      <c r="C3" s="29" t="inlineStr">
        <is>
          <t>WHAT TO DO</t>
        </is>
      </c>
      <c r="F3" t="inlineStr">
        <is>
          <t>Arsalan</t>
        </is>
      </c>
    </row>
    <row r="4" ht="27.75" customHeight="1">
      <c r="B4" s="30" t="inlineStr">
        <is>
          <t>Machine</t>
        </is>
      </c>
      <c r="C4" s="31" t="inlineStr">
        <is>
          <t>Click the cell — a dropdown appears. Pick the machine name.</t>
        </is>
      </c>
      <c r="F4" t="inlineStr">
        <is>
          <t>Saqib</t>
        </is>
      </c>
    </row>
    <row r="5" ht="27.75" customHeight="1">
      <c r="B5" s="28" t="inlineStr">
        <is>
          <t>Category</t>
        </is>
      </c>
      <c r="C5" s="29" t="inlineStr">
        <is>
          <t>Pick Electrical or Mechanical from the dropdown.</t>
        </is>
      </c>
    </row>
    <row r="6" ht="27.75" customHeight="1">
      <c r="B6" s="30" t="inlineStr">
        <is>
          <t>Task Description</t>
        </is>
      </c>
      <c r="C6" s="31" t="inlineStr">
        <is>
          <t>Type the task clearly and briefly.</t>
        </is>
      </c>
    </row>
    <row r="7" ht="27.75" customHeight="1">
      <c r="B7" s="28" t="inlineStr">
        <is>
          <t>Priority</t>
        </is>
      </c>
      <c r="C7" s="29" t="inlineStr">
        <is>
          <t>High = urgent / blocking.  Medium = important.  Low = when possible.</t>
        </is>
      </c>
    </row>
    <row r="8" ht="27.75" customHeight="1">
      <c r="B8" s="30" t="inlineStr">
        <is>
          <t>Progress</t>
        </is>
      </c>
      <c r="C8" s="31" t="inlineStr">
        <is>
          <t>Type a number: 0 = not started,  50 = halfway done,  100 = complete.</t>
        </is>
      </c>
    </row>
    <row r="9" ht="27.75" customHeight="1">
      <c r="B9" s="28" t="inlineStr">
        <is>
          <t>Status</t>
        </is>
      </c>
      <c r="C9" s="29" t="inlineStr">
        <is>
          <t>Pick from dropdown: Not Started / In Progress / Completed / Blocked / Pending Procurement.</t>
        </is>
      </c>
    </row>
    <row r="10" ht="27.75" customHeight="1">
      <c r="B10" s="30" t="inlineStr">
        <is>
          <t>Remarks</t>
        </is>
      </c>
      <c r="C10" s="31" t="inlineStr">
        <is>
          <t>Short notes — vendor, reason for delay, Khalid sb instruction, etc.</t>
        </is>
      </c>
    </row>
    <row r="11" ht="27.75" customHeight="1">
      <c r="B11" s="28" t="inlineStr">
        <is>
          <t>Updated</t>
        </is>
      </c>
      <c r="C11" s="29" t="inlineStr">
        <is>
          <t>Type today's date when you update any row.</t>
        </is>
      </c>
    </row>
    <row r="12" ht="27.75" customHeight="1">
      <c r="B12" s="30" t="inlineStr">
        <is>
          <t>Add a new task</t>
        </is>
      </c>
      <c r="C12" s="31" t="inlineStr">
        <is>
          <t>Scroll to the bottom. Type in the next empty row. All dropdowns work there too.</t>
        </is>
      </c>
    </row>
    <row r="13" ht="27.75" customHeight="1">
      <c r="B13" s="28" t="inlineStr">
        <is>
          <t>Filter by machine</t>
        </is>
      </c>
      <c r="C13" s="29" t="inlineStr">
        <is>
          <t>Click the filter arrow (▼) on the Machine column. Tick only the machine you want.</t>
        </is>
      </c>
    </row>
    <row r="14" ht="27.75" customHeight="1">
      <c r="B14" s="30" t="inlineStr">
        <is>
          <t>Hide completed</t>
        </is>
      </c>
      <c r="C14" s="31" t="inlineStr">
        <is>
          <t>Click the filter arrow on Status. Untick Completed. Click OK.</t>
        </is>
      </c>
    </row>
    <row r="15" ht="27.75" customHeight="1">
      <c r="B15" s="28" t="inlineStr">
        <is>
          <t>Dashboard links</t>
        </is>
      </c>
      <c r="C15" s="29" t="inlineStr">
        <is>
          <t>On the Dashboard, click any machine name (underlined blue) to jump straight to it.</t>
        </is>
      </c>
    </row>
    <row r="16" ht="27.75" customHeight="1">
      <c r="B16" s="30" t="inlineStr">
        <is>
          <t>Back to Dashboard</t>
        </is>
      </c>
      <c r="C16" s="31" t="inlineStr">
        <is>
          <t>In the Tracker, click '← Dashboard' in the top-right corner of the sheet.</t>
        </is>
      </c>
    </row>
  </sheetData>
  <mergeCells count="1">
    <mergeCell ref="B1:C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2026-05-21T10:48:17Z</dcterms:created>
  <dcterms:modified xmlns:dcterms="http://purl.org/dc/terms/" xmlns:xsi="http://www.w3.org/2001/XMLSchema-instance" xsi:type="dcterms:W3CDTF">2026-08-21T07:14:47Z</dcterms:modified>
  <cp:lastModifiedBy>HP</cp:lastModifiedBy>
  <cp:revision>0</cp:revision>
</cp:coreProperties>
</file>