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erosol\"/>
    </mc:Choice>
  </mc:AlternateContent>
  <xr:revisionPtr revIDLastSave="0" documentId="8_{979E2C24-52AA-42A7-A294-0B0757F266A7}" xr6:coauthVersionLast="47" xr6:coauthVersionMax="47" xr10:uidLastSave="{00000000-0000-0000-0000-000000000000}"/>
  <bookViews>
    <workbookView xWindow="-120" yWindow="-120" windowWidth="20730" windowHeight="11040" xr2:uid="{18C5614C-A43C-468F-B8AF-D1E6AF2668E8}"/>
  </bookViews>
  <sheets>
    <sheet name="TRACKER" sheetId="1" r:id="rId1"/>
  </sheets>
  <definedNames>
    <definedName name="_xlnm._FilterDatabase" localSheetId="0" hidden="1">TRACKER!$A$2:$J$171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1" i="1" l="1"/>
  <c r="A4" i="1"/>
  <c r="A62" i="1" l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137" i="1" l="1"/>
  <c r="A139" i="1"/>
  <c r="A138" i="1" l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40" i="1"/>
</calcChain>
</file>

<file path=xl/sharedStrings.xml><?xml version="1.0" encoding="utf-8"?>
<sst xmlns="http://schemas.openxmlformats.org/spreadsheetml/2006/main" count="1029" uniqueCount="204">
  <si>
    <t>AEROSOL PLANT  ·  INSTALLATION TRACKER</t>
  </si>
  <si>
    <t>← Dashboard</t>
  </si>
  <si>
    <t>#</t>
  </si>
  <si>
    <t>Machine</t>
  </si>
  <si>
    <t>Category</t>
  </si>
  <si>
    <t>Task Description</t>
  </si>
  <si>
    <t>Priority</t>
  </si>
  <si>
    <t>Progress</t>
  </si>
  <si>
    <t>Status</t>
  </si>
  <si>
    <t>Responsible</t>
  </si>
  <si>
    <t>Remarks</t>
  </si>
  <si>
    <t>Updated</t>
  </si>
  <si>
    <t>Accumulator</t>
  </si>
  <si>
    <t>Electrical</t>
  </si>
  <si>
    <t>Dry run</t>
  </si>
  <si>
    <t>High</t>
  </si>
  <si>
    <t>Not Started</t>
  </si>
  <si>
    <t>Arsalan</t>
  </si>
  <si>
    <t>on machine testing</t>
  </si>
  <si>
    <t>Mechanical</t>
  </si>
  <si>
    <t>chain &amp; bearing greasing</t>
  </si>
  <si>
    <t>Medium</t>
  </si>
  <si>
    <t>In Progress</t>
  </si>
  <si>
    <t>Auto strapping machine</t>
  </si>
  <si>
    <t>to place and install at designated location</t>
  </si>
  <si>
    <t>Low</t>
  </si>
  <si>
    <t>wiring and connections to be done</t>
  </si>
  <si>
    <t>Lacquer</t>
  </si>
  <si>
    <t>All heaters — check, fix or replace faulty</t>
  </si>
  <si>
    <t>Completed</t>
  </si>
  <si>
    <t>Press</t>
  </si>
  <si>
    <t>Press &amp; Trimming compressor temporary line fixed</t>
  </si>
  <si>
    <t>Blower main motor connection and testing</t>
  </si>
  <si>
    <t>Spray Guns — cleaned with thinner</t>
  </si>
  <si>
    <t>Spray Mount Drum — scraped &amp; cleaned</t>
  </si>
  <si>
    <t>Mandrel Plate — scraped &amp; cleaned</t>
  </si>
  <si>
    <t>Saqib</t>
  </si>
  <si>
    <t>Exhaust Sieve — cleaned</t>
  </si>
  <si>
    <t>Frame Body — cleaned</t>
  </si>
  <si>
    <t>Oven Chain cleaning</t>
  </si>
  <si>
    <t>Washing</t>
  </si>
  <si>
    <t>chain installation</t>
  </si>
  <si>
    <t>Compressor</t>
  </si>
  <si>
    <t>Compressor  dryer and auto drain electrical connection</t>
  </si>
  <si>
    <t>Compressor piping — dryer and auto drain system</t>
  </si>
  <si>
    <t>main pipe to be elevated downward for smooth drainage</t>
  </si>
  <si>
    <t>individual section pipes/ branches to be supported/fixed/welded</t>
  </si>
  <si>
    <t>dryer wiring and connection to be done.</t>
  </si>
  <si>
    <t>decoration  Oven</t>
  </si>
  <si>
    <t>Heaters to be checked and replaced if required</t>
  </si>
  <si>
    <t>sample needed for ordering</t>
  </si>
  <si>
    <t>Blower motor connection and testing</t>
  </si>
  <si>
    <t>temperature gauges to be checked &amp; installed</t>
  </si>
  <si>
    <t>General</t>
  </si>
  <si>
    <t>Lacquer Oven Dry run</t>
  </si>
  <si>
    <t>Cleaning in progress &amp; Heater testing in progress</t>
  </si>
  <si>
    <t>Motors alignment w.r.t marking</t>
  </si>
  <si>
    <t>Khalid Shb observations</t>
  </si>
  <si>
    <t>FG Conveyor</t>
  </si>
  <si>
    <t>Realignment of conveyor to be done as per Lindsay recommendation</t>
  </si>
  <si>
    <t>connection/wiring to be done</t>
  </si>
  <si>
    <t xml:space="preserve">Machine Operating Manuals </t>
  </si>
  <si>
    <t>Overall machine paint</t>
  </si>
  <si>
    <t>Modify exhaust duct pipes — prevent rainwater entry bends installation</t>
  </si>
  <si>
    <t>Test each machine individually without load</t>
  </si>
  <si>
    <t>Ensure proper cleaning of entire machine</t>
  </si>
  <si>
    <t>Scoop required for slug handling</t>
  </si>
  <si>
    <t xml:space="preserve">Baling machine procurement </t>
  </si>
  <si>
    <t>scrap collector container to be made/procured for trimming</t>
  </si>
  <si>
    <t>White LED lighting for printing and oven area</t>
  </si>
  <si>
    <t>Make stands for all spare rolls</t>
  </si>
  <si>
    <t>Full operator toolset &amp; tool trolley system</t>
  </si>
  <si>
    <t>Lab equipment to be sourced</t>
  </si>
  <si>
    <t>Dust bins for office areas</t>
  </si>
  <si>
    <t>Big cartons for temporary storage of cans</t>
  </si>
  <si>
    <t>Boxes / Bins for cans packing (Alpha Container)</t>
  </si>
  <si>
    <t>Transformer load increase to 625 kW — utility application</t>
  </si>
  <si>
    <t>Application in process</t>
  </si>
  <si>
    <t>Ensure all exhaust fans on floor are operational</t>
  </si>
  <si>
    <t>partially operational</t>
  </si>
  <si>
    <t xml:space="preserve">Operator's Platform </t>
  </si>
  <si>
    <t>new to be ordered</t>
  </si>
  <si>
    <t>Internal Lacquering Dry run</t>
  </si>
  <si>
    <t>lacquer Storage vessel installation with pneumatic fittings</t>
  </si>
  <si>
    <t>fixing  can holders after cleaning</t>
  </si>
  <si>
    <t>Cans Holders — dismantled, clean with thinner</t>
  </si>
  <si>
    <t>Small dedicated air tank / receiver for lacquer</t>
  </si>
  <si>
    <t>Lacquer oven</t>
  </si>
  <si>
    <t>Oven Chain &amp; bearing greasing</t>
  </si>
  <si>
    <t>closure of electrical panels</t>
  </si>
  <si>
    <t xml:space="preserve">Oven back metallic cover sheet to place </t>
  </si>
  <si>
    <t>Over Varnish</t>
  </si>
  <si>
    <t>Rollers — dismantled, to be chrome plated</t>
  </si>
  <si>
    <t>Printing</t>
  </si>
  <si>
    <t>Printing machine rollers — deep clean, rubber &amp; chrome inspection</t>
  </si>
  <si>
    <t>All printing rollers — dismantle, clean, buff, chrome plate</t>
  </si>
  <si>
    <t>CTC cleaning of machine panels interface</t>
  </si>
  <si>
    <t>Heat exchanger for washing system — procure &amp; install</t>
  </si>
  <si>
    <t>Inspect all rubber pipes — replace if damaged</t>
  </si>
  <si>
    <t>Manual Strapping Machine</t>
  </si>
  <si>
    <t>Necking</t>
  </si>
  <si>
    <t xml:space="preserve">Infeed tray installation from feeding unit to necking machine </t>
  </si>
  <si>
    <t xml:space="preserve">PVC ejection pipe installation from necking for cans discharge </t>
  </si>
  <si>
    <t>scrap collection tank to install from necking</t>
  </si>
  <si>
    <t>Conveyor installation after ejection pipe</t>
  </si>
  <si>
    <t>Necking machine Dry run</t>
  </si>
  <si>
    <t>Electrical troubleshooting and testing</t>
  </si>
  <si>
    <t>Cans Grippers / Holders — cleaning</t>
  </si>
  <si>
    <t>Buffing and polishing on necking machine tools</t>
  </si>
  <si>
    <t>Two sets of press dies, springs &amp; nut bolts required</t>
  </si>
  <si>
    <t>Kluber oil &amp; grease for necking machine</t>
  </si>
  <si>
    <t>Necking machine — electrical supply troubleshooting for dry run</t>
  </si>
  <si>
    <t>Interlocking will be redesigned and checked</t>
  </si>
  <si>
    <t>Washing unit tanks — sizes and quantities for quotation</t>
  </si>
  <si>
    <t>Close all electrical panels and cable trays</t>
  </si>
  <si>
    <t>Damping rubber pads over slug feeding tray</t>
  </si>
  <si>
    <t>Pending Procurement</t>
  </si>
  <si>
    <t>Gear Oil Lubrication pumping system setup</t>
  </si>
  <si>
    <t>Slug Feeding Hopper sheet to be fixed</t>
  </si>
  <si>
    <t xml:space="preserve">Tools for press machine </t>
  </si>
  <si>
    <t>Dust Collection blower installation</t>
  </si>
  <si>
    <t>SOV pneumatic press clutch service</t>
  </si>
  <si>
    <t xml:space="preserve">Hopper motor installation and testing </t>
  </si>
  <si>
    <t>Cable trays installation</t>
  </si>
  <si>
    <t>Press Clutch NRV repaired</t>
  </si>
  <si>
    <t>Overall Machine operation</t>
  </si>
  <si>
    <t xml:space="preserve">Main Power Cable Termination &amp; Execution Plan </t>
  </si>
  <si>
    <t>Main Power Cable procurement</t>
  </si>
  <si>
    <t>Quotation awaiting for execution</t>
  </si>
  <si>
    <t>Electrical panels for power distribution</t>
  </si>
  <si>
    <t>Verify electrical panels, wiring &amp; interlocks — Press to Washing</t>
  </si>
  <si>
    <t>Till Washing Machine electrical Work is completed</t>
  </si>
  <si>
    <t>Testing of Control Logics &amp; Circuits</t>
  </si>
  <si>
    <t>Verify electrical panels, wiring &amp; interlocks — Washing to Necking</t>
  </si>
  <si>
    <t>Press timing and alignment with testing</t>
  </si>
  <si>
    <t>Die &amp; punch stroke setting</t>
  </si>
  <si>
    <t>Slug tray on/of switch to be installed</t>
  </si>
  <si>
    <t>Dust Collection blower piping</t>
  </si>
  <si>
    <t>Welding &amp; fixing gear oil tank brackets and sheet</t>
  </si>
  <si>
    <t>Fixing the lubrication tray properly with a slope for drainage</t>
  </si>
  <si>
    <t>Place and install the Oil collection tank directly under the tray</t>
  </si>
  <si>
    <t>Installation of Level sensor and Filter on the oil tank</t>
  </si>
  <si>
    <t>Trimming</t>
  </si>
  <si>
    <t>Installation of piping of Trimming Of blower</t>
  </si>
  <si>
    <t>Conveyor alignment — Trimming to Washing</t>
  </si>
  <si>
    <t>Trimming Scrap collector wiring and troubleshooting</t>
  </si>
  <si>
    <t>Electrical Panel checked / Tested</t>
  </si>
  <si>
    <t>Startup main motor</t>
  </si>
  <si>
    <t>Pneumatic and Electrical operation check</t>
  </si>
  <si>
    <t>Trimming startup</t>
  </si>
  <si>
    <t>Conveyor — Press to Trimming input</t>
  </si>
  <si>
    <t>Trimming machine dry run</t>
  </si>
  <si>
    <t>Install safety guard for suction at scrap generation point</t>
  </si>
  <si>
    <t>closure of chain/gears/pneumatic assembly with box</t>
  </si>
  <si>
    <t>closure of all cable trays/ panels</t>
  </si>
  <si>
    <t>pneumatic pressure valve for ejector pressure to install</t>
  </si>
  <si>
    <t>Installation of trimming blower</t>
  </si>
  <si>
    <t>Fixing of Manual Oil Lubrication System</t>
  </si>
  <si>
    <t>Addition of closed cabinet for trim collection on machine side</t>
  </si>
  <si>
    <t>Oiling / greasing / parts replacement / testing</t>
  </si>
  <si>
    <t>Base Coat</t>
  </si>
  <si>
    <t>Fumes collector piping to install</t>
  </si>
  <si>
    <t>Rollers Housing — cleaned and greased</t>
  </si>
  <si>
    <t>Mandrels — cleaned</t>
  </si>
  <si>
    <t xml:space="preserve">Spare Rubberize rollers </t>
  </si>
  <si>
    <t>Air regulator pneumatic fitting to check and rectify and fixation</t>
  </si>
  <si>
    <t>driving gear chain box enclosure at back</t>
  </si>
  <si>
    <t>Rawal bolts anchoring to be done on the foundation</t>
  </si>
  <si>
    <t>varnish pump placement and installation with piping</t>
  </si>
  <si>
    <t>Printing Oven Dry run</t>
  </si>
  <si>
    <t>Motors checking and troubleshooting</t>
  </si>
  <si>
    <t>PLC installation &amp; termination</t>
  </si>
  <si>
    <t>Bearings — cleaning &amp; greasing</t>
  </si>
  <si>
    <t>Ink Fountain — cleaning</t>
  </si>
  <si>
    <t>Roller Train Frame — cleaning</t>
  </si>
  <si>
    <t>Dismantle all rollers for inspection &amp; Cleaning</t>
  </si>
  <si>
    <t>Tumbler</t>
  </si>
  <si>
    <t>Mixer installation and automation — auto feeding flow design</t>
  </si>
  <si>
    <t>quotation awaiting for conveyor from Arsalan &amp; Lindsay</t>
  </si>
  <si>
    <t>Slug Mixing Unit Dry run</t>
  </si>
  <si>
    <t>Working on its auto feeding system</t>
  </si>
  <si>
    <t>Tumbler/Mixer wiring and connections to be done</t>
  </si>
  <si>
    <t>Main motor testing</t>
  </si>
  <si>
    <t>Tumbler/Mixer installation on platform</t>
  </si>
  <si>
    <t>Servo motor troubleshooting</t>
  </si>
  <si>
    <t>Aluminum oil tank — fabricate &amp; install</t>
  </si>
  <si>
    <t>Rawlbolts anchoring to be done on the foundation</t>
  </si>
  <si>
    <t>Printing Machine Dry run</t>
  </si>
  <si>
    <t>Washing machine piping and blower installation</t>
  </si>
  <si>
    <t>Washing unit drain flexible pipes after tank installation</t>
  </si>
  <si>
    <t>Washing Machine Dry run</t>
  </si>
  <si>
    <t>Electrical Operating control panel to be relocated from trimming to washing</t>
  </si>
  <si>
    <t>pressure gauge to install on rinse recycle loop pipes</t>
  </si>
  <si>
    <t>contamination/ fumes collector to be checked and installed on top</t>
  </si>
  <si>
    <t xml:space="preserve">to install Pvc &amp; wire brush on washing chain at top </t>
  </si>
  <si>
    <t>Spray and Drying section's windows to be installed</t>
  </si>
  <si>
    <t>Rinsing Recycling Tank — recoating &amp; cleaning</t>
  </si>
  <si>
    <t>Spraying Jets Section — cleaning / scraping</t>
  </si>
  <si>
    <t xml:space="preserve">Heaters to be Replaced </t>
  </si>
  <si>
    <t>All gears greasing</t>
  </si>
  <si>
    <t>Gears alignment</t>
  </si>
  <si>
    <t>Separate storage tanks installation(detergent / cold / hot water)</t>
  </si>
  <si>
    <t>i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</si>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</sst>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757575"/>
      <name val="Arial"/>
      <family val="2"/>
    </font>
    <font>
      <sz val="10"/>
      <color rgb="FF212121"/>
      <name val="Arial"/>
      <family val="2"/>
    </font>
    <font>
      <sz val="10"/>
      <color rgb="FF212121"/>
      <name val="Arial"/>
      <family val="2"/>
      <charset val="1"/>
    </font>
    <font>
      <b/>
      <sz val="10"/>
      <color rgb="FF2E7D32"/>
      <name val="Arial"/>
      <family val="2"/>
      <charset val="1"/>
    </font>
    <font>
      <b/>
      <sz val="10"/>
      <color rgb="FFF57F17"/>
      <name val="Arial"/>
      <family val="2"/>
    </font>
    <font>
      <b/>
      <sz val="10"/>
      <color rgb="FF2E7D32"/>
      <name val="Arial"/>
      <family val="2"/>
    </font>
    <font>
      <b/>
      <sz val="10"/>
      <color rgb="FF616161"/>
      <name val="Arial"/>
      <family val="2"/>
    </font>
    <font>
      <b/>
      <sz val="10"/>
      <color rgb="FF616161"/>
      <name val="Arial"/>
      <family val="2"/>
      <charset val="1"/>
    </font>
    <font>
      <b/>
      <sz val="10"/>
      <color rgb="FFF57F17"/>
      <name val="Arial"/>
      <family val="2"/>
      <charset val="1"/>
    </font>
    <font>
      <b/>
      <sz val="10"/>
      <color rgb="FFE65100"/>
      <name val="Arial"/>
      <family val="2"/>
    </font>
    <font>
      <b/>
      <sz val="10"/>
      <color rgb="FFC62828"/>
      <name val="Arial"/>
      <family val="2"/>
      <charset val="1"/>
    </font>
    <font>
      <b/>
      <sz val="10"/>
      <color rgb="FFC6282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2C3E50"/>
      </patternFill>
    </fill>
    <fill>
      <patternFill patternType="solid">
        <fgColor rgb="FF2C3E50"/>
        <bgColor rgb="FF374151"/>
      </patternFill>
    </fill>
    <fill>
      <patternFill patternType="solid">
        <fgColor rgb="FFFFFFFF"/>
        <bgColor rgb="FFFAFAFA"/>
      </patternFill>
    </fill>
    <fill>
      <patternFill patternType="solid">
        <fgColor rgb="FFEBF3FB"/>
        <bgColor rgb="FFF1F5F9"/>
      </patternFill>
    </fill>
    <fill>
      <patternFill patternType="solid">
        <fgColor rgb="FFFFCDD2"/>
        <bgColor rgb="FFFEE2E2"/>
      </patternFill>
    </fill>
    <fill>
      <patternFill patternType="solid">
        <fgColor rgb="FFE8F5E9"/>
        <bgColor rgb="FFEBF3FB"/>
      </patternFill>
    </fill>
    <fill>
      <patternFill patternType="solid">
        <fgColor rgb="FFFFF9C4"/>
        <bgColor rgb="FFFEF3C7"/>
      </patternFill>
    </fill>
    <fill>
      <patternFill patternType="solid">
        <fgColor rgb="FFF5F5F5"/>
        <bgColor rgb="FFF3F4F6"/>
      </patternFill>
    </fill>
    <fill>
      <patternFill patternType="solid">
        <fgColor rgb="FFFAFAFA"/>
        <bgColor rgb="FFF9FAFB"/>
      </patternFill>
    </fill>
    <fill>
      <patternFill patternType="solid">
        <fgColor rgb="FFFFF3E0"/>
        <bgColor rgb="FFFEF2F2"/>
      </patternFill>
    </fill>
    <fill>
      <patternFill patternType="solid">
        <fgColor rgb="FFFFEBEE"/>
        <bgColor rgb="FFFEF2F2"/>
      </patternFill>
    </fill>
  </fills>
  <borders count="6">
    <border>
      <left/>
      <right/>
      <top/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/>
    </xf>
    <xf numFmtId="9" fontId="4" fillId="5" borderId="4" xfId="0" applyNumberFormat="1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8" fillId="7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/>
    </xf>
    <xf numFmtId="0" fontId="9" fillId="9" borderId="4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left" vertical="center"/>
    </xf>
    <xf numFmtId="0" fontId="4" fillId="10" borderId="4" xfId="0" applyFont="1" applyFill="1" applyBorder="1" applyAlignment="1">
      <alignment horizontal="left" vertical="center"/>
    </xf>
    <xf numFmtId="14" fontId="4" fillId="4" borderId="4" xfId="0" applyNumberFormat="1" applyFont="1" applyFill="1" applyBorder="1" applyAlignment="1">
      <alignment horizontal="left" vertical="center"/>
    </xf>
    <xf numFmtId="14" fontId="4" fillId="5" borderId="4" xfId="0" applyNumberFormat="1" applyFont="1" applyFill="1" applyBorder="1" applyAlignment="1">
      <alignment horizontal="left" vertical="center"/>
    </xf>
    <xf numFmtId="0" fontId="10" fillId="9" borderId="4" xfId="0" applyFont="1" applyFill="1" applyBorder="1" applyAlignment="1">
      <alignment horizontal="left" vertical="center"/>
    </xf>
    <xf numFmtId="0" fontId="11" fillId="8" borderId="4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left" vertical="center"/>
    </xf>
    <xf numFmtId="0" fontId="12" fillId="11" borderId="4" xfId="0" applyFont="1" applyFill="1" applyBorder="1" applyAlignment="1">
      <alignment horizontal="left" vertical="center"/>
    </xf>
    <xf numFmtId="0" fontId="13" fillId="12" borderId="4" xfId="0" applyFont="1" applyFill="1" applyBorder="1" applyAlignment="1">
      <alignment horizontal="left" vertical="center"/>
    </xf>
    <xf numFmtId="0" fontId="0" fillId="0" borderId="4" xfId="0" applyBorder="1"/>
    <xf numFmtId="0" fontId="5" fillId="4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14" fillId="12" borderId="4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/>
    </xf>
    <xf numFmtId="0" fontId="4" fillId="8" borderId="5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4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8">
    <dxf>
      <font>
        <b/>
        <sz val="8"/>
        <color rgb="FF6D28D9"/>
        <name val="Calibri"/>
        <charset val="1"/>
      </font>
      <fill>
        <patternFill>
          <bgColor rgb="FFF5F3FF"/>
        </patternFill>
      </fill>
    </dxf>
    <dxf>
      <font>
        <b/>
        <sz val="8"/>
        <color rgb="FFB91C1C"/>
        <name val="Calibri"/>
        <charset val="1"/>
      </font>
      <fill>
        <patternFill>
          <bgColor rgb="FFFEF2F2"/>
        </patternFill>
      </fill>
    </dxf>
    <dxf>
      <font>
        <b/>
        <sz val="8"/>
        <color rgb="FF374151"/>
        <name val="Calibri"/>
        <charset val="1"/>
      </font>
      <fill>
        <patternFill>
          <bgColor rgb="FFF9FAFB"/>
        </patternFill>
      </fill>
    </dxf>
    <dxf>
      <font>
        <b/>
        <sz val="8"/>
        <color rgb="FFB45309"/>
        <name val="Calibri"/>
        <charset val="1"/>
      </font>
      <fill>
        <patternFill>
          <bgColor rgb="FFFFFBEB"/>
        </patternFill>
      </fill>
    </dxf>
    <dxf>
      <font>
        <b/>
        <sz val="8"/>
        <color rgb="FF6B7280"/>
        <name val="Calibri"/>
        <charset val="1"/>
      </font>
      <fill>
        <patternFill>
          <bgColor rgb="FFF3F4F6"/>
        </patternFill>
      </fill>
    </dxf>
    <dxf>
      <font>
        <b/>
        <sz val="8"/>
        <color rgb="FF166534"/>
        <name val="Calibri"/>
        <charset val="1"/>
      </font>
      <fill>
        <patternFill>
          <bgColor rgb="FFDCFCE7"/>
        </patternFill>
      </fill>
    </dxf>
    <dxf>
      <font>
        <b/>
        <sz val="8"/>
        <color rgb="FF92400E"/>
        <name val="Calibri"/>
        <charset val="1"/>
      </font>
      <fill>
        <patternFill>
          <bgColor rgb="FFFEF3C7"/>
        </patternFill>
      </fill>
    </dxf>
    <dxf>
      <font>
        <b/>
        <sz val="8"/>
        <color rgb="FFB91C1C"/>
        <name val="Calibri"/>
        <charset val="1"/>
      </font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C:/Users/DELL/AppData/Local/Packages/5319275A.WhatsAppDesktop_cv1g1gvanyjgm/LocalState/sessions/5E142AE466020DB26E5051B9DB16D8DFEDFFE8E8/transfers/2026-21/Aerosol_Plant_Tracker_v8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E5C8-6ACB-40A9-A151-B3165A545325}">
  <sheetPr filterMode="1"/>
  <dimension ref="A1:J171"/>
  <sheetViews>
    <sheetView showGridLines="0" tabSelected="1" zoomScaleNormal="100" workbookViewId="0">
      <pane xSplit="3" ySplit="2" topLeftCell="D13" activePane="bottomRight" state="frozen"/>
      <selection pane="topRight" activeCell="D1" sqref="D1"/>
      <selection pane="bottomLeft" activeCell="A3" sqref="A3"/>
      <selection pane="bottomRight" activeCell="G15" sqref="G15"/>
    </sheetView>
  </sheetViews>
  <sheetFormatPr defaultColWidth="8.7109375" defaultRowHeight="15" x14ac:dyDescent="0.25"/>
  <cols>
    <col min="1" max="1" width="6.42578125" customWidth="1"/>
    <col min="2" max="2" width="16.85546875" style="36" customWidth="1"/>
    <col min="3" max="3" width="13.42578125" customWidth="1"/>
    <col min="4" max="4" width="51.28515625" bestFit="1" customWidth="1"/>
    <col min="5" max="5" width="11.85546875" customWidth="1"/>
    <col min="6" max="6" width="13.42578125" customWidth="1"/>
    <col min="7" max="7" width="14.28515625" bestFit="1" customWidth="1"/>
    <col min="8" max="8" width="16.140625" customWidth="1"/>
    <col min="9" max="9" width="11.7109375" customWidth="1"/>
    <col min="10" max="10" width="16.7109375" bestFit="1" customWidth="1"/>
  </cols>
  <sheetData>
    <row r="1" spans="1:10" ht="16.5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</row>
    <row r="2" spans="1:10" x14ac:dyDescent="0.25">
      <c r="A2" s="5" t="s">
        <v>2</v>
      </c>
      <c r="B2" s="6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</row>
    <row r="3" spans="1:10" hidden="1" x14ac:dyDescent="0.25">
      <c r="A3" s="7">
        <v>1</v>
      </c>
      <c r="B3" s="8" t="s">
        <v>12</v>
      </c>
      <c r="C3" s="9" t="s">
        <v>13</v>
      </c>
      <c r="D3" s="8" t="s">
        <v>14</v>
      </c>
      <c r="E3" s="10" t="s">
        <v>15</v>
      </c>
      <c r="F3" s="11">
        <v>0</v>
      </c>
      <c r="G3" s="12" t="s">
        <v>16</v>
      </c>
      <c r="H3" s="13" t="s">
        <v>17</v>
      </c>
      <c r="I3" s="9" t="s">
        <v>18</v>
      </c>
      <c r="J3" s="9"/>
    </row>
    <row r="4" spans="1:10" hidden="1" x14ac:dyDescent="0.25">
      <c r="A4" s="7">
        <f t="shared" ref="A4:A67" si="0">A3+1</f>
        <v>2</v>
      </c>
      <c r="B4" s="8" t="s">
        <v>12</v>
      </c>
      <c r="C4" s="9" t="s">
        <v>19</v>
      </c>
      <c r="D4" s="8" t="s">
        <v>20</v>
      </c>
      <c r="E4" s="14" t="s">
        <v>21</v>
      </c>
      <c r="F4" s="11">
        <v>0.5</v>
      </c>
      <c r="G4" s="15" t="s">
        <v>22</v>
      </c>
      <c r="H4" s="13" t="s">
        <v>17</v>
      </c>
      <c r="I4" s="9"/>
      <c r="J4" s="9"/>
    </row>
    <row r="5" spans="1:10" ht="25.5" hidden="1" x14ac:dyDescent="0.25">
      <c r="A5" s="7">
        <f t="shared" si="0"/>
        <v>3</v>
      </c>
      <c r="B5" s="16" t="s">
        <v>23</v>
      </c>
      <c r="C5" s="17" t="s">
        <v>19</v>
      </c>
      <c r="D5" s="16" t="s">
        <v>24</v>
      </c>
      <c r="E5" s="14" t="s">
        <v>21</v>
      </c>
      <c r="F5" s="11">
        <v>0</v>
      </c>
      <c r="G5" s="18" t="s">
        <v>16</v>
      </c>
      <c r="H5" s="13" t="s">
        <v>17</v>
      </c>
      <c r="I5" s="17"/>
      <c r="J5" s="17"/>
    </row>
    <row r="6" spans="1:10" ht="25.5" hidden="1" x14ac:dyDescent="0.25">
      <c r="A6" s="7">
        <f t="shared" si="0"/>
        <v>4</v>
      </c>
      <c r="B6" s="16" t="s">
        <v>23</v>
      </c>
      <c r="C6" s="17" t="s">
        <v>19</v>
      </c>
      <c r="D6" s="16" t="s">
        <v>14</v>
      </c>
      <c r="E6" s="14" t="s">
        <v>25</v>
      </c>
      <c r="F6" s="11">
        <v>0</v>
      </c>
      <c r="G6" s="18" t="s">
        <v>16</v>
      </c>
      <c r="H6" s="13" t="s">
        <v>17</v>
      </c>
      <c r="I6" s="17"/>
      <c r="J6" s="17"/>
    </row>
    <row r="7" spans="1:10" ht="25.5" hidden="1" x14ac:dyDescent="0.25">
      <c r="A7" s="7">
        <f t="shared" si="0"/>
        <v>5</v>
      </c>
      <c r="B7" s="8" t="s">
        <v>23</v>
      </c>
      <c r="C7" s="9" t="s">
        <v>13</v>
      </c>
      <c r="D7" s="8" t="s">
        <v>26</v>
      </c>
      <c r="E7" s="19" t="s">
        <v>21</v>
      </c>
      <c r="F7" s="11">
        <v>0</v>
      </c>
      <c r="G7" s="18" t="s">
        <v>16</v>
      </c>
      <c r="H7" s="13" t="s">
        <v>17</v>
      </c>
      <c r="I7" s="9"/>
      <c r="J7" s="9"/>
    </row>
    <row r="8" spans="1:10" x14ac:dyDescent="0.25">
      <c r="A8" s="7">
        <f t="shared" si="0"/>
        <v>6</v>
      </c>
      <c r="B8" s="16" t="s">
        <v>27</v>
      </c>
      <c r="C8" s="17" t="s">
        <v>13</v>
      </c>
      <c r="D8" s="16" t="s">
        <v>28</v>
      </c>
      <c r="E8" s="20" t="s">
        <v>15</v>
      </c>
      <c r="F8" s="11">
        <v>1</v>
      </c>
      <c r="G8" s="18" t="s">
        <v>29</v>
      </c>
      <c r="H8" s="13" t="s">
        <v>17</v>
      </c>
      <c r="I8" s="21">
        <v>46157</v>
      </c>
      <c r="J8" s="17"/>
    </row>
    <row r="9" spans="1:10" x14ac:dyDescent="0.25">
      <c r="A9" s="7">
        <f t="shared" si="0"/>
        <v>7</v>
      </c>
      <c r="B9" s="16" t="s">
        <v>30</v>
      </c>
      <c r="C9" s="17" t="s">
        <v>19</v>
      </c>
      <c r="D9" s="16" t="s">
        <v>31</v>
      </c>
      <c r="E9" s="20" t="s">
        <v>15</v>
      </c>
      <c r="F9" s="11">
        <v>1</v>
      </c>
      <c r="G9" s="18" t="s">
        <v>29</v>
      </c>
      <c r="H9" s="13" t="s">
        <v>17</v>
      </c>
      <c r="I9" s="22">
        <v>46158</v>
      </c>
      <c r="J9" s="17"/>
    </row>
    <row r="10" spans="1:10" x14ac:dyDescent="0.25">
      <c r="A10" s="7">
        <f t="shared" si="0"/>
        <v>8</v>
      </c>
      <c r="B10" s="16" t="s">
        <v>27</v>
      </c>
      <c r="C10" s="17" t="s">
        <v>13</v>
      </c>
      <c r="D10" s="16" t="s">
        <v>32</v>
      </c>
      <c r="E10" s="14" t="s">
        <v>15</v>
      </c>
      <c r="F10" s="11">
        <v>1</v>
      </c>
      <c r="G10" s="18" t="s">
        <v>29</v>
      </c>
      <c r="H10" s="13" t="s">
        <v>17</v>
      </c>
      <c r="I10" s="21">
        <v>46183</v>
      </c>
      <c r="J10" s="17"/>
    </row>
    <row r="11" spans="1:10" x14ac:dyDescent="0.25">
      <c r="A11" s="7">
        <f t="shared" si="0"/>
        <v>9</v>
      </c>
      <c r="B11" s="8" t="s">
        <v>27</v>
      </c>
      <c r="C11" s="9" t="s">
        <v>19</v>
      </c>
      <c r="D11" s="8" t="s">
        <v>33</v>
      </c>
      <c r="E11" s="19" t="s">
        <v>15</v>
      </c>
      <c r="F11" s="11">
        <v>1</v>
      </c>
      <c r="G11" s="18" t="s">
        <v>29</v>
      </c>
      <c r="H11" s="13" t="s">
        <v>17</v>
      </c>
      <c r="I11" s="21">
        <v>46183</v>
      </c>
      <c r="J11" s="9"/>
    </row>
    <row r="12" spans="1:10" x14ac:dyDescent="0.25">
      <c r="A12" s="7">
        <f t="shared" si="0"/>
        <v>10</v>
      </c>
      <c r="B12" s="16" t="s">
        <v>27</v>
      </c>
      <c r="C12" s="17" t="s">
        <v>19</v>
      </c>
      <c r="D12" s="16" t="s">
        <v>34</v>
      </c>
      <c r="E12" s="19" t="s">
        <v>15</v>
      </c>
      <c r="F12" s="11">
        <v>1</v>
      </c>
      <c r="G12" s="18" t="s">
        <v>29</v>
      </c>
      <c r="H12" s="13" t="s">
        <v>17</v>
      </c>
      <c r="I12" s="21">
        <v>46183</v>
      </c>
      <c r="J12" s="17"/>
    </row>
    <row r="13" spans="1:10" x14ac:dyDescent="0.25">
      <c r="A13" s="7">
        <f t="shared" si="0"/>
        <v>11</v>
      </c>
      <c r="B13" s="8" t="s">
        <v>27</v>
      </c>
      <c r="C13" s="9" t="s">
        <v>19</v>
      </c>
      <c r="D13" s="8" t="s">
        <v>35</v>
      </c>
      <c r="E13" s="14" t="s">
        <v>21</v>
      </c>
      <c r="F13" s="11">
        <v>1</v>
      </c>
      <c r="G13" s="23" t="s">
        <v>29</v>
      </c>
      <c r="H13" s="24" t="s">
        <v>36</v>
      </c>
      <c r="I13" s="21">
        <v>46183</v>
      </c>
      <c r="J13" s="9"/>
    </row>
    <row r="14" spans="1:10" x14ac:dyDescent="0.25">
      <c r="A14" s="7">
        <f t="shared" si="0"/>
        <v>12</v>
      </c>
      <c r="B14" s="16" t="s">
        <v>27</v>
      </c>
      <c r="C14" s="17" t="s">
        <v>19</v>
      </c>
      <c r="D14" s="16" t="s">
        <v>37</v>
      </c>
      <c r="E14" s="19" t="s">
        <v>21</v>
      </c>
      <c r="F14" s="11">
        <v>1</v>
      </c>
      <c r="G14" s="23" t="s">
        <v>29</v>
      </c>
      <c r="H14" s="24" t="s">
        <v>36</v>
      </c>
      <c r="I14" s="21">
        <v>46183</v>
      </c>
      <c r="J14" s="17"/>
    </row>
    <row r="15" spans="1:10" x14ac:dyDescent="0.25">
      <c r="A15" s="7">
        <f t="shared" si="0"/>
        <v>13</v>
      </c>
      <c r="B15" s="8" t="s">
        <v>27</v>
      </c>
      <c r="C15" s="9" t="s">
        <v>19</v>
      </c>
      <c r="D15" s="8" t="s">
        <v>38</v>
      </c>
      <c r="E15" s="20" t="s">
        <v>21</v>
      </c>
      <c r="F15" s="11">
        <v>1</v>
      </c>
      <c r="G15" s="23" t="s">
        <v>29</v>
      </c>
      <c r="H15" s="24" t="s">
        <v>36</v>
      </c>
      <c r="I15" s="21">
        <v>46183</v>
      </c>
      <c r="J15" s="9"/>
    </row>
    <row r="16" spans="1:10" x14ac:dyDescent="0.25">
      <c r="A16" s="7">
        <f t="shared" si="0"/>
        <v>14</v>
      </c>
      <c r="B16" s="16" t="s">
        <v>27</v>
      </c>
      <c r="C16" s="17" t="s">
        <v>19</v>
      </c>
      <c r="D16" s="16" t="s">
        <v>39</v>
      </c>
      <c r="E16" s="19" t="s">
        <v>21</v>
      </c>
      <c r="F16" s="11">
        <v>1</v>
      </c>
      <c r="G16" s="23" t="s">
        <v>29</v>
      </c>
      <c r="H16" s="24" t="s">
        <v>36</v>
      </c>
      <c r="I16" s="21">
        <v>46183</v>
      </c>
      <c r="J16" s="17"/>
    </row>
    <row r="17" spans="1:10" x14ac:dyDescent="0.25">
      <c r="A17" s="7">
        <f t="shared" si="0"/>
        <v>15</v>
      </c>
      <c r="B17" s="8" t="s">
        <v>40</v>
      </c>
      <c r="C17" s="9" t="s">
        <v>19</v>
      </c>
      <c r="D17" s="8" t="s">
        <v>41</v>
      </c>
      <c r="E17" s="19" t="s">
        <v>15</v>
      </c>
      <c r="F17" s="11">
        <v>0.9</v>
      </c>
      <c r="G17" s="13" t="s">
        <v>16</v>
      </c>
      <c r="H17" s="13" t="s">
        <v>17</v>
      </c>
      <c r="I17" s="21">
        <v>46184</v>
      </c>
      <c r="J17" s="9"/>
    </row>
    <row r="18" spans="1:10" hidden="1" x14ac:dyDescent="0.25">
      <c r="A18" s="7">
        <f t="shared" si="0"/>
        <v>16</v>
      </c>
      <c r="B18" s="8" t="s">
        <v>42</v>
      </c>
      <c r="C18" s="9" t="s">
        <v>13</v>
      </c>
      <c r="D18" s="8" t="s">
        <v>43</v>
      </c>
      <c r="E18" s="20" t="s">
        <v>15</v>
      </c>
      <c r="F18" s="11">
        <v>0.5</v>
      </c>
      <c r="G18" s="18" t="s">
        <v>22</v>
      </c>
      <c r="H18" s="13" t="s">
        <v>17</v>
      </c>
      <c r="I18" s="9"/>
      <c r="J18" s="9"/>
    </row>
    <row r="19" spans="1:10" hidden="1" x14ac:dyDescent="0.25">
      <c r="A19" s="7">
        <f t="shared" si="0"/>
        <v>17</v>
      </c>
      <c r="B19" s="8" t="s">
        <v>42</v>
      </c>
      <c r="C19" s="9" t="s">
        <v>19</v>
      </c>
      <c r="D19" s="8" t="s">
        <v>44</v>
      </c>
      <c r="E19" s="20" t="s">
        <v>15</v>
      </c>
      <c r="F19" s="11">
        <v>0.95</v>
      </c>
      <c r="G19" s="18" t="s">
        <v>22</v>
      </c>
      <c r="H19" s="13" t="s">
        <v>17</v>
      </c>
      <c r="I19" s="9"/>
      <c r="J19" s="9"/>
    </row>
    <row r="20" spans="1:10" hidden="1" x14ac:dyDescent="0.25">
      <c r="A20" s="7">
        <f t="shared" si="0"/>
        <v>18</v>
      </c>
      <c r="B20" s="16" t="s">
        <v>42</v>
      </c>
      <c r="C20" s="17" t="s">
        <v>19</v>
      </c>
      <c r="D20" s="16" t="s">
        <v>45</v>
      </c>
      <c r="E20" s="20" t="s">
        <v>21</v>
      </c>
      <c r="F20" s="11">
        <v>0</v>
      </c>
      <c r="G20" s="18" t="s">
        <v>16</v>
      </c>
      <c r="H20" s="13" t="s">
        <v>17</v>
      </c>
      <c r="I20" s="17"/>
      <c r="J20" s="17"/>
    </row>
    <row r="21" spans="1:10" ht="25.5" hidden="1" x14ac:dyDescent="0.25">
      <c r="A21" s="7">
        <f t="shared" si="0"/>
        <v>19</v>
      </c>
      <c r="B21" s="16" t="s">
        <v>42</v>
      </c>
      <c r="C21" s="17" t="s">
        <v>19</v>
      </c>
      <c r="D21" s="16" t="s">
        <v>46</v>
      </c>
      <c r="E21" s="20" t="s">
        <v>21</v>
      </c>
      <c r="F21" s="11">
        <v>0</v>
      </c>
      <c r="G21" s="18" t="s">
        <v>16</v>
      </c>
      <c r="H21" s="13" t="s">
        <v>17</v>
      </c>
      <c r="I21" s="17"/>
      <c r="J21" s="17"/>
    </row>
    <row r="22" spans="1:10" hidden="1" x14ac:dyDescent="0.25">
      <c r="A22" s="7">
        <f t="shared" si="0"/>
        <v>20</v>
      </c>
      <c r="B22" s="8" t="s">
        <v>42</v>
      </c>
      <c r="C22" s="9" t="s">
        <v>13</v>
      </c>
      <c r="D22" s="8" t="s">
        <v>47</v>
      </c>
      <c r="E22" s="20" t="s">
        <v>15</v>
      </c>
      <c r="F22" s="11">
        <v>0</v>
      </c>
      <c r="G22" s="18" t="s">
        <v>16</v>
      </c>
      <c r="H22" s="13" t="s">
        <v>17</v>
      </c>
      <c r="I22" s="9"/>
      <c r="J22" s="9"/>
    </row>
    <row r="23" spans="1:10" hidden="1" x14ac:dyDescent="0.25">
      <c r="A23" s="7">
        <f t="shared" si="0"/>
        <v>21</v>
      </c>
      <c r="B23" s="8" t="s">
        <v>48</v>
      </c>
      <c r="C23" s="9" t="s">
        <v>13</v>
      </c>
      <c r="D23" s="8" t="s">
        <v>49</v>
      </c>
      <c r="E23" s="25" t="s">
        <v>15</v>
      </c>
      <c r="F23" s="11">
        <v>0</v>
      </c>
      <c r="G23" s="23" t="s">
        <v>16</v>
      </c>
      <c r="H23" s="13" t="s">
        <v>17</v>
      </c>
      <c r="I23" s="9" t="s">
        <v>50</v>
      </c>
      <c r="J23" s="9"/>
    </row>
    <row r="24" spans="1:10" hidden="1" x14ac:dyDescent="0.25">
      <c r="A24" s="7">
        <f t="shared" si="0"/>
        <v>22</v>
      </c>
      <c r="B24" s="8" t="s">
        <v>48</v>
      </c>
      <c r="C24" s="9" t="s">
        <v>13</v>
      </c>
      <c r="D24" s="8" t="s">
        <v>51</v>
      </c>
      <c r="E24" s="25" t="s">
        <v>15</v>
      </c>
      <c r="F24" s="11">
        <v>1</v>
      </c>
      <c r="G24" s="18" t="s">
        <v>29</v>
      </c>
      <c r="H24" s="13" t="s">
        <v>17</v>
      </c>
      <c r="I24" s="9"/>
      <c r="J24" s="9"/>
    </row>
    <row r="25" spans="1:10" hidden="1" x14ac:dyDescent="0.25">
      <c r="A25" s="7">
        <f t="shared" si="0"/>
        <v>23</v>
      </c>
      <c r="B25" s="8" t="s">
        <v>48</v>
      </c>
      <c r="C25" s="9" t="s">
        <v>13</v>
      </c>
      <c r="D25" s="8" t="s">
        <v>52</v>
      </c>
      <c r="E25" s="25" t="s">
        <v>15</v>
      </c>
      <c r="F25" s="11">
        <v>0</v>
      </c>
      <c r="G25" s="23" t="s">
        <v>16</v>
      </c>
      <c r="H25" s="13" t="s">
        <v>17</v>
      </c>
      <c r="I25" s="9"/>
      <c r="J25" s="9"/>
    </row>
    <row r="26" spans="1:10" hidden="1" x14ac:dyDescent="0.25">
      <c r="A26" s="7">
        <f t="shared" si="0"/>
        <v>24</v>
      </c>
      <c r="B26" s="8" t="s">
        <v>48</v>
      </c>
      <c r="C26" s="9" t="s">
        <v>53</v>
      </c>
      <c r="D26" s="8" t="s">
        <v>54</v>
      </c>
      <c r="E26" s="25" t="s">
        <v>15</v>
      </c>
      <c r="F26" s="11">
        <v>1</v>
      </c>
      <c r="G26" s="18" t="s">
        <v>29</v>
      </c>
      <c r="H26" s="13" t="s">
        <v>17</v>
      </c>
      <c r="I26" s="9" t="s">
        <v>55</v>
      </c>
      <c r="J26" s="9"/>
    </row>
    <row r="27" spans="1:10" hidden="1" x14ac:dyDescent="0.25">
      <c r="A27" s="7">
        <f t="shared" si="0"/>
        <v>25</v>
      </c>
      <c r="B27" s="8" t="s">
        <v>48</v>
      </c>
      <c r="C27" s="17" t="s">
        <v>19</v>
      </c>
      <c r="D27" s="16" t="s">
        <v>56</v>
      </c>
      <c r="E27" s="25" t="s">
        <v>15</v>
      </c>
      <c r="F27" s="11">
        <v>1</v>
      </c>
      <c r="G27" s="18" t="s">
        <v>29</v>
      </c>
      <c r="H27" s="13" t="s">
        <v>17</v>
      </c>
      <c r="I27" s="17" t="s">
        <v>57</v>
      </c>
      <c r="J27" s="17"/>
    </row>
    <row r="28" spans="1:10" ht="25.5" hidden="1" x14ac:dyDescent="0.25">
      <c r="A28" s="7">
        <f t="shared" si="0"/>
        <v>26</v>
      </c>
      <c r="B28" s="16" t="s">
        <v>58</v>
      </c>
      <c r="C28" s="17" t="s">
        <v>19</v>
      </c>
      <c r="D28" s="16" t="s">
        <v>59</v>
      </c>
      <c r="E28" s="14" t="s">
        <v>21</v>
      </c>
      <c r="F28" s="11">
        <v>0</v>
      </c>
      <c r="G28" s="18" t="s">
        <v>16</v>
      </c>
      <c r="H28" s="13" t="s">
        <v>17</v>
      </c>
      <c r="I28" s="17"/>
      <c r="J28" s="17"/>
    </row>
    <row r="29" spans="1:10" hidden="1" x14ac:dyDescent="0.25">
      <c r="A29" s="7">
        <f t="shared" si="0"/>
        <v>27</v>
      </c>
      <c r="B29" s="8" t="s">
        <v>58</v>
      </c>
      <c r="C29" s="9" t="s">
        <v>13</v>
      </c>
      <c r="D29" s="8" t="s">
        <v>60</v>
      </c>
      <c r="E29" s="14" t="s">
        <v>21</v>
      </c>
      <c r="F29" s="11">
        <v>0</v>
      </c>
      <c r="G29" s="18" t="s">
        <v>16</v>
      </c>
      <c r="H29" s="13" t="s">
        <v>17</v>
      </c>
      <c r="I29" s="9"/>
      <c r="J29" s="9"/>
    </row>
    <row r="30" spans="1:10" hidden="1" x14ac:dyDescent="0.25">
      <c r="A30" s="7">
        <f t="shared" si="0"/>
        <v>28</v>
      </c>
      <c r="B30" s="8" t="s">
        <v>53</v>
      </c>
      <c r="C30" s="9" t="s">
        <v>53</v>
      </c>
      <c r="D30" s="8" t="s">
        <v>61</v>
      </c>
      <c r="E30" s="20" t="s">
        <v>21</v>
      </c>
      <c r="F30" s="11">
        <v>0.1</v>
      </c>
      <c r="G30" s="18" t="s">
        <v>22</v>
      </c>
      <c r="H30" s="13" t="s">
        <v>36</v>
      </c>
      <c r="I30" s="9"/>
      <c r="J30" s="9"/>
    </row>
    <row r="31" spans="1:10" hidden="1" x14ac:dyDescent="0.25">
      <c r="A31" s="7">
        <f t="shared" si="0"/>
        <v>29</v>
      </c>
      <c r="B31" s="8" t="s">
        <v>53</v>
      </c>
      <c r="C31" s="9" t="s">
        <v>53</v>
      </c>
      <c r="D31" s="8" t="s">
        <v>62</v>
      </c>
      <c r="E31" s="20" t="s">
        <v>21</v>
      </c>
      <c r="F31" s="11">
        <v>0</v>
      </c>
      <c r="G31" s="18" t="s">
        <v>16</v>
      </c>
      <c r="H31" s="13" t="s">
        <v>36</v>
      </c>
      <c r="I31" s="9"/>
      <c r="J31" s="9"/>
    </row>
    <row r="32" spans="1:10" ht="25.5" hidden="1" x14ac:dyDescent="0.25">
      <c r="A32" s="7">
        <f t="shared" si="0"/>
        <v>30</v>
      </c>
      <c r="B32" s="16" t="s">
        <v>53</v>
      </c>
      <c r="C32" s="17" t="s">
        <v>19</v>
      </c>
      <c r="D32" s="16" t="s">
        <v>63</v>
      </c>
      <c r="E32" s="20" t="s">
        <v>21</v>
      </c>
      <c r="F32" s="11">
        <v>1</v>
      </c>
      <c r="G32" s="18" t="s">
        <v>29</v>
      </c>
      <c r="H32" s="13" t="s">
        <v>36</v>
      </c>
      <c r="I32" s="17"/>
      <c r="J32" s="17"/>
    </row>
    <row r="33" spans="1:10" hidden="1" x14ac:dyDescent="0.25">
      <c r="A33" s="7">
        <f t="shared" si="0"/>
        <v>31</v>
      </c>
      <c r="B33" s="16" t="s">
        <v>53</v>
      </c>
      <c r="C33" s="17" t="s">
        <v>19</v>
      </c>
      <c r="D33" s="16" t="s">
        <v>64</v>
      </c>
      <c r="E33" s="20" t="s">
        <v>21</v>
      </c>
      <c r="F33" s="11">
        <v>0.5</v>
      </c>
      <c r="G33" s="18" t="s">
        <v>22</v>
      </c>
      <c r="H33" s="13" t="s">
        <v>17</v>
      </c>
      <c r="I33" s="21"/>
      <c r="J33" s="17"/>
    </row>
    <row r="34" spans="1:10" hidden="1" x14ac:dyDescent="0.25">
      <c r="A34" s="7">
        <f t="shared" si="0"/>
        <v>32</v>
      </c>
      <c r="B34" s="8" t="s">
        <v>53</v>
      </c>
      <c r="C34" s="9" t="s">
        <v>53</v>
      </c>
      <c r="D34" s="8" t="s">
        <v>65</v>
      </c>
      <c r="E34" s="20" t="s">
        <v>21</v>
      </c>
      <c r="F34" s="11">
        <v>0</v>
      </c>
      <c r="G34" s="23" t="s">
        <v>16</v>
      </c>
      <c r="H34" s="13" t="s">
        <v>36</v>
      </c>
      <c r="I34" s="9"/>
      <c r="J34" s="9"/>
    </row>
    <row r="35" spans="1:10" hidden="1" x14ac:dyDescent="0.25">
      <c r="A35" s="7">
        <f t="shared" si="0"/>
        <v>33</v>
      </c>
      <c r="B35" s="16" t="s">
        <v>53</v>
      </c>
      <c r="C35" s="17" t="s">
        <v>19</v>
      </c>
      <c r="D35" s="16" t="s">
        <v>66</v>
      </c>
      <c r="E35" s="20" t="s">
        <v>21</v>
      </c>
      <c r="F35" s="11">
        <v>0</v>
      </c>
      <c r="G35" s="18" t="s">
        <v>16</v>
      </c>
      <c r="H35" s="13" t="s">
        <v>36</v>
      </c>
      <c r="I35" s="17"/>
      <c r="J35" s="17"/>
    </row>
    <row r="36" spans="1:10" hidden="1" x14ac:dyDescent="0.25">
      <c r="A36" s="7">
        <f t="shared" si="0"/>
        <v>34</v>
      </c>
      <c r="B36" s="8" t="s">
        <v>53</v>
      </c>
      <c r="C36" s="9" t="s">
        <v>19</v>
      </c>
      <c r="D36" s="8" t="s">
        <v>67</v>
      </c>
      <c r="E36" s="20" t="s">
        <v>21</v>
      </c>
      <c r="F36" s="11">
        <v>0</v>
      </c>
      <c r="G36" s="18" t="s">
        <v>16</v>
      </c>
      <c r="H36" s="13" t="s">
        <v>36</v>
      </c>
      <c r="I36" s="17"/>
      <c r="J36" s="9"/>
    </row>
    <row r="37" spans="1:10" hidden="1" x14ac:dyDescent="0.25">
      <c r="A37" s="7">
        <f t="shared" si="0"/>
        <v>35</v>
      </c>
      <c r="B37" s="16" t="s">
        <v>53</v>
      </c>
      <c r="C37" s="17" t="s">
        <v>19</v>
      </c>
      <c r="D37" s="16" t="s">
        <v>68</v>
      </c>
      <c r="E37" s="20" t="s">
        <v>21</v>
      </c>
      <c r="F37" s="11">
        <v>0</v>
      </c>
      <c r="G37" s="13" t="s">
        <v>16</v>
      </c>
      <c r="H37" s="13" t="s">
        <v>36</v>
      </c>
      <c r="I37" s="17"/>
      <c r="J37" s="17"/>
    </row>
    <row r="38" spans="1:10" hidden="1" x14ac:dyDescent="0.25">
      <c r="A38" s="7">
        <f t="shared" si="0"/>
        <v>36</v>
      </c>
      <c r="B38" s="16" t="s">
        <v>53</v>
      </c>
      <c r="C38" s="17" t="s">
        <v>13</v>
      </c>
      <c r="D38" s="16" t="s">
        <v>69</v>
      </c>
      <c r="E38" s="14" t="s">
        <v>21</v>
      </c>
      <c r="F38" s="11">
        <v>0</v>
      </c>
      <c r="G38" s="15" t="s">
        <v>16</v>
      </c>
      <c r="H38" s="13" t="s">
        <v>36</v>
      </c>
      <c r="I38" s="17"/>
      <c r="J38" s="17"/>
    </row>
    <row r="39" spans="1:10" hidden="1" x14ac:dyDescent="0.25">
      <c r="A39" s="7">
        <f t="shared" si="0"/>
        <v>37</v>
      </c>
      <c r="B39" s="16" t="s">
        <v>53</v>
      </c>
      <c r="C39" s="17" t="s">
        <v>53</v>
      </c>
      <c r="D39" s="16" t="s">
        <v>70</v>
      </c>
      <c r="E39" s="20" t="s">
        <v>21</v>
      </c>
      <c r="F39" s="11">
        <v>0</v>
      </c>
      <c r="G39" s="18" t="s">
        <v>16</v>
      </c>
      <c r="H39" s="13" t="s">
        <v>36</v>
      </c>
      <c r="I39" s="17"/>
      <c r="J39" s="17"/>
    </row>
    <row r="40" spans="1:10" hidden="1" x14ac:dyDescent="0.25">
      <c r="A40" s="7">
        <f t="shared" si="0"/>
        <v>38</v>
      </c>
      <c r="B40" s="8" t="s">
        <v>53</v>
      </c>
      <c r="C40" s="9" t="s">
        <v>53</v>
      </c>
      <c r="D40" s="8" t="s">
        <v>71</v>
      </c>
      <c r="E40" s="20" t="s">
        <v>21</v>
      </c>
      <c r="F40" s="11">
        <v>0</v>
      </c>
      <c r="G40" s="18" t="s">
        <v>16</v>
      </c>
      <c r="H40" s="13" t="s">
        <v>36</v>
      </c>
      <c r="I40" s="9"/>
      <c r="J40" s="9"/>
    </row>
    <row r="41" spans="1:10" hidden="1" x14ac:dyDescent="0.25">
      <c r="A41" s="7">
        <f t="shared" si="0"/>
        <v>39</v>
      </c>
      <c r="B41" s="16" t="s">
        <v>53</v>
      </c>
      <c r="C41" s="17" t="s">
        <v>53</v>
      </c>
      <c r="D41" s="16" t="s">
        <v>72</v>
      </c>
      <c r="E41" s="20" t="s">
        <v>21</v>
      </c>
      <c r="F41" s="11">
        <v>0</v>
      </c>
      <c r="G41" s="18" t="s">
        <v>16</v>
      </c>
      <c r="H41" s="13" t="s">
        <v>36</v>
      </c>
      <c r="I41" s="17"/>
      <c r="J41" s="17"/>
    </row>
    <row r="42" spans="1:10" hidden="1" x14ac:dyDescent="0.25">
      <c r="A42" s="7">
        <f t="shared" si="0"/>
        <v>40</v>
      </c>
      <c r="B42" s="16" t="s">
        <v>53</v>
      </c>
      <c r="C42" s="17" t="s">
        <v>53</v>
      </c>
      <c r="D42" s="16" t="s">
        <v>73</v>
      </c>
      <c r="E42" s="20" t="s">
        <v>21</v>
      </c>
      <c r="F42" s="11">
        <v>0</v>
      </c>
      <c r="G42" s="18" t="s">
        <v>16</v>
      </c>
      <c r="H42" s="13" t="s">
        <v>36</v>
      </c>
      <c r="I42" s="17"/>
      <c r="J42" s="17"/>
    </row>
    <row r="43" spans="1:10" hidden="1" x14ac:dyDescent="0.25">
      <c r="A43" s="7">
        <f t="shared" si="0"/>
        <v>41</v>
      </c>
      <c r="B43" s="8" t="s">
        <v>53</v>
      </c>
      <c r="C43" s="9" t="s">
        <v>53</v>
      </c>
      <c r="D43" s="8" t="s">
        <v>74</v>
      </c>
      <c r="E43" s="20" t="s">
        <v>21</v>
      </c>
      <c r="F43" s="11">
        <v>0</v>
      </c>
      <c r="G43" s="18" t="s">
        <v>16</v>
      </c>
      <c r="H43" s="13" t="s">
        <v>36</v>
      </c>
      <c r="I43" s="9"/>
      <c r="J43" s="9"/>
    </row>
    <row r="44" spans="1:10" hidden="1" x14ac:dyDescent="0.25">
      <c r="A44" s="7">
        <f t="shared" si="0"/>
        <v>42</v>
      </c>
      <c r="B44" s="16" t="s">
        <v>53</v>
      </c>
      <c r="C44" s="17" t="s">
        <v>53</v>
      </c>
      <c r="D44" s="16" t="s">
        <v>75</v>
      </c>
      <c r="E44" s="20" t="s">
        <v>21</v>
      </c>
      <c r="F44" s="11">
        <v>0</v>
      </c>
      <c r="G44" s="26" t="s">
        <v>16</v>
      </c>
      <c r="H44" s="13" t="s">
        <v>36</v>
      </c>
      <c r="I44" s="17"/>
      <c r="J44" s="17"/>
    </row>
    <row r="45" spans="1:10" hidden="1" x14ac:dyDescent="0.25">
      <c r="A45" s="7">
        <f t="shared" si="0"/>
        <v>43</v>
      </c>
      <c r="B45" s="8" t="s">
        <v>53</v>
      </c>
      <c r="C45" s="9" t="s">
        <v>13</v>
      </c>
      <c r="D45" s="8" t="s">
        <v>76</v>
      </c>
      <c r="E45" s="20" t="s">
        <v>15</v>
      </c>
      <c r="F45" s="11">
        <v>0</v>
      </c>
      <c r="G45" s="23" t="s">
        <v>16</v>
      </c>
      <c r="H45" s="13" t="s">
        <v>36</v>
      </c>
      <c r="I45" s="9" t="s">
        <v>77</v>
      </c>
      <c r="J45" s="9"/>
    </row>
    <row r="46" spans="1:10" hidden="1" x14ac:dyDescent="0.25">
      <c r="A46" s="7">
        <f t="shared" si="0"/>
        <v>44</v>
      </c>
      <c r="B46" s="16" t="s">
        <v>53</v>
      </c>
      <c r="C46" s="17" t="s">
        <v>13</v>
      </c>
      <c r="D46" s="16" t="s">
        <v>78</v>
      </c>
      <c r="E46" s="20" t="s">
        <v>15</v>
      </c>
      <c r="F46" s="11">
        <v>0.7</v>
      </c>
      <c r="G46" s="23" t="s">
        <v>22</v>
      </c>
      <c r="H46" s="13" t="s">
        <v>36</v>
      </c>
      <c r="I46" s="17" t="s">
        <v>79</v>
      </c>
      <c r="J46" s="17"/>
    </row>
    <row r="47" spans="1:10" hidden="1" x14ac:dyDescent="0.25">
      <c r="A47" s="7">
        <f t="shared" si="0"/>
        <v>45</v>
      </c>
      <c r="B47" s="16" t="s">
        <v>53</v>
      </c>
      <c r="C47" s="17" t="s">
        <v>19</v>
      </c>
      <c r="D47" s="16" t="s">
        <v>80</v>
      </c>
      <c r="E47" s="20" t="s">
        <v>21</v>
      </c>
      <c r="F47" s="11">
        <v>0</v>
      </c>
      <c r="G47" s="18" t="s">
        <v>16</v>
      </c>
      <c r="H47" s="13" t="s">
        <v>36</v>
      </c>
      <c r="I47" s="17" t="s">
        <v>81</v>
      </c>
      <c r="J47" s="17"/>
    </row>
    <row r="48" spans="1:10" x14ac:dyDescent="0.25">
      <c r="A48" s="7">
        <f t="shared" si="0"/>
        <v>46</v>
      </c>
      <c r="B48" s="8" t="s">
        <v>27</v>
      </c>
      <c r="C48" s="9" t="s">
        <v>53</v>
      </c>
      <c r="D48" s="8" t="s">
        <v>82</v>
      </c>
      <c r="E48" s="20" t="s">
        <v>15</v>
      </c>
      <c r="F48" s="11">
        <v>0</v>
      </c>
      <c r="G48" s="15" t="s">
        <v>16</v>
      </c>
      <c r="H48" s="13" t="s">
        <v>17</v>
      </c>
      <c r="I48" s="21">
        <v>46188</v>
      </c>
      <c r="J48" s="9"/>
    </row>
    <row r="49" spans="1:10" x14ac:dyDescent="0.25">
      <c r="A49" s="7">
        <f t="shared" si="0"/>
        <v>47</v>
      </c>
      <c r="B49" s="8" t="s">
        <v>27</v>
      </c>
      <c r="C49" s="9" t="s">
        <v>19</v>
      </c>
      <c r="D49" s="8" t="s">
        <v>83</v>
      </c>
      <c r="E49" s="20" t="s">
        <v>21</v>
      </c>
      <c r="F49" s="11">
        <v>0</v>
      </c>
      <c r="G49" s="15" t="s">
        <v>16</v>
      </c>
      <c r="H49" s="13" t="s">
        <v>36</v>
      </c>
      <c r="I49" s="21">
        <v>46188</v>
      </c>
      <c r="J49" s="9"/>
    </row>
    <row r="50" spans="1:10" x14ac:dyDescent="0.25">
      <c r="A50" s="7">
        <f t="shared" si="0"/>
        <v>48</v>
      </c>
      <c r="B50" s="16" t="s">
        <v>27</v>
      </c>
      <c r="C50" s="17" t="s">
        <v>19</v>
      </c>
      <c r="D50" s="16" t="s">
        <v>84</v>
      </c>
      <c r="E50" s="20" t="s">
        <v>21</v>
      </c>
      <c r="F50" s="11">
        <v>0</v>
      </c>
      <c r="G50" s="15" t="s">
        <v>16</v>
      </c>
      <c r="H50" s="13" t="s">
        <v>17</v>
      </c>
      <c r="I50" s="21">
        <v>46188</v>
      </c>
      <c r="J50" s="17"/>
    </row>
    <row r="51" spans="1:10" x14ac:dyDescent="0.25">
      <c r="A51" s="7">
        <f t="shared" si="0"/>
        <v>49</v>
      </c>
      <c r="B51" s="8" t="s">
        <v>27</v>
      </c>
      <c r="C51" s="9" t="s">
        <v>19</v>
      </c>
      <c r="D51" s="8" t="s">
        <v>85</v>
      </c>
      <c r="E51" s="14" t="s">
        <v>21</v>
      </c>
      <c r="F51" s="11">
        <v>0.5</v>
      </c>
      <c r="G51" s="13" t="s">
        <v>22</v>
      </c>
      <c r="H51" s="13" t="s">
        <v>36</v>
      </c>
      <c r="I51" s="21">
        <v>46188</v>
      </c>
      <c r="J51" s="9"/>
    </row>
    <row r="52" spans="1:10" x14ac:dyDescent="0.25">
      <c r="A52" s="7">
        <f t="shared" si="0"/>
        <v>50</v>
      </c>
      <c r="B52" s="16" t="s">
        <v>27</v>
      </c>
      <c r="C52" s="17" t="s">
        <v>19</v>
      </c>
      <c r="D52" s="16" t="s">
        <v>86</v>
      </c>
      <c r="E52" s="19" t="s">
        <v>21</v>
      </c>
      <c r="F52" s="11">
        <v>0</v>
      </c>
      <c r="G52" s="13" t="s">
        <v>16</v>
      </c>
      <c r="H52" s="13" t="s">
        <v>36</v>
      </c>
      <c r="I52" s="21">
        <v>46188</v>
      </c>
      <c r="J52" s="17"/>
    </row>
    <row r="53" spans="1:10" x14ac:dyDescent="0.25">
      <c r="A53" s="7">
        <f t="shared" si="0"/>
        <v>51</v>
      </c>
      <c r="B53" s="8" t="s">
        <v>87</v>
      </c>
      <c r="C53" s="9" t="s">
        <v>19</v>
      </c>
      <c r="D53" s="8" t="s">
        <v>88</v>
      </c>
      <c r="E53" s="14" t="s">
        <v>21</v>
      </c>
      <c r="F53" s="11">
        <v>0.5</v>
      </c>
      <c r="G53" s="18" t="s">
        <v>22</v>
      </c>
      <c r="H53" s="13" t="s">
        <v>17</v>
      </c>
      <c r="I53" s="21">
        <v>46188</v>
      </c>
      <c r="J53" s="9"/>
    </row>
    <row r="54" spans="1:10" x14ac:dyDescent="0.25">
      <c r="A54" s="7">
        <f t="shared" si="0"/>
        <v>52</v>
      </c>
      <c r="B54" s="8" t="s">
        <v>87</v>
      </c>
      <c r="C54" s="9" t="s">
        <v>13</v>
      </c>
      <c r="D54" s="8" t="s">
        <v>89</v>
      </c>
      <c r="E54" s="14" t="s">
        <v>21</v>
      </c>
      <c r="F54" s="11">
        <v>0</v>
      </c>
      <c r="G54" s="18" t="s">
        <v>16</v>
      </c>
      <c r="H54" s="13" t="s">
        <v>17</v>
      </c>
      <c r="I54" s="21">
        <v>46188</v>
      </c>
      <c r="J54" s="9"/>
    </row>
    <row r="55" spans="1:10" x14ac:dyDescent="0.25">
      <c r="A55" s="7">
        <f t="shared" si="0"/>
        <v>53</v>
      </c>
      <c r="B55" s="16" t="s">
        <v>87</v>
      </c>
      <c r="C55" s="17" t="s">
        <v>19</v>
      </c>
      <c r="D55" s="16" t="s">
        <v>90</v>
      </c>
      <c r="E55" s="14" t="s">
        <v>21</v>
      </c>
      <c r="F55" s="11">
        <v>0</v>
      </c>
      <c r="G55" s="18" t="s">
        <v>16</v>
      </c>
      <c r="H55" s="13" t="s">
        <v>17</v>
      </c>
      <c r="I55" s="21">
        <v>46188</v>
      </c>
      <c r="J55" s="17"/>
    </row>
    <row r="56" spans="1:10" x14ac:dyDescent="0.25">
      <c r="A56" s="7">
        <f t="shared" si="0"/>
        <v>54</v>
      </c>
      <c r="B56" s="8" t="s">
        <v>91</v>
      </c>
      <c r="C56" s="9" t="s">
        <v>19</v>
      </c>
      <c r="D56" s="8" t="s">
        <v>92</v>
      </c>
      <c r="E56" s="25" t="s">
        <v>15</v>
      </c>
      <c r="F56" s="11">
        <v>1</v>
      </c>
      <c r="G56" s="18" t="s">
        <v>29</v>
      </c>
      <c r="H56" s="13" t="s">
        <v>36</v>
      </c>
      <c r="I56" s="21">
        <v>46188</v>
      </c>
      <c r="J56" s="9"/>
    </row>
    <row r="57" spans="1:10" x14ac:dyDescent="0.25">
      <c r="A57" s="7">
        <f t="shared" si="0"/>
        <v>55</v>
      </c>
      <c r="B57" s="16" t="s">
        <v>93</v>
      </c>
      <c r="C57" s="17" t="s">
        <v>19</v>
      </c>
      <c r="D57" s="16" t="s">
        <v>92</v>
      </c>
      <c r="E57" s="20" t="s">
        <v>15</v>
      </c>
      <c r="F57" s="11">
        <v>0.8</v>
      </c>
      <c r="G57" s="23" t="s">
        <v>22</v>
      </c>
      <c r="H57" s="13" t="s">
        <v>36</v>
      </c>
      <c r="I57" s="21">
        <v>46188</v>
      </c>
      <c r="J57" s="17"/>
    </row>
    <row r="58" spans="1:10" ht="25.5" x14ac:dyDescent="0.25">
      <c r="A58" s="7">
        <f t="shared" si="0"/>
        <v>56</v>
      </c>
      <c r="B58" s="8" t="s">
        <v>93</v>
      </c>
      <c r="C58" s="9" t="s">
        <v>19</v>
      </c>
      <c r="D58" s="8" t="s">
        <v>94</v>
      </c>
      <c r="E58" s="14" t="s">
        <v>15</v>
      </c>
      <c r="F58" s="11">
        <v>0.8</v>
      </c>
      <c r="G58" s="23" t="s">
        <v>22</v>
      </c>
      <c r="H58" s="13" t="s">
        <v>36</v>
      </c>
      <c r="I58" s="21">
        <v>46188</v>
      </c>
      <c r="J58" s="9"/>
    </row>
    <row r="59" spans="1:10" x14ac:dyDescent="0.25">
      <c r="A59" s="7">
        <f t="shared" si="0"/>
        <v>57</v>
      </c>
      <c r="B59" s="16" t="s">
        <v>93</v>
      </c>
      <c r="C59" s="17" t="s">
        <v>19</v>
      </c>
      <c r="D59" s="16" t="s">
        <v>95</v>
      </c>
      <c r="E59" s="14" t="s">
        <v>15</v>
      </c>
      <c r="F59" s="11">
        <v>0.8</v>
      </c>
      <c r="G59" s="23" t="s">
        <v>22</v>
      </c>
      <c r="H59" s="13" t="s">
        <v>36</v>
      </c>
      <c r="I59" s="21">
        <v>46188</v>
      </c>
      <c r="J59" s="17"/>
    </row>
    <row r="60" spans="1:10" x14ac:dyDescent="0.25">
      <c r="A60" s="7">
        <f t="shared" si="0"/>
        <v>58</v>
      </c>
      <c r="B60" s="16" t="s">
        <v>93</v>
      </c>
      <c r="C60" s="17" t="s">
        <v>13</v>
      </c>
      <c r="D60" s="16" t="s">
        <v>96</v>
      </c>
      <c r="E60" s="14" t="s">
        <v>15</v>
      </c>
      <c r="F60" s="11">
        <v>0.8</v>
      </c>
      <c r="G60" s="23" t="s">
        <v>22</v>
      </c>
      <c r="H60" s="13" t="s">
        <v>17</v>
      </c>
      <c r="I60" s="21">
        <v>46188</v>
      </c>
      <c r="J60" s="17"/>
    </row>
    <row r="61" spans="1:10" x14ac:dyDescent="0.25">
      <c r="A61" s="7" t="e">
        <f>#REF!+1</f>
        <v>#REF!</v>
      </c>
      <c r="B61" s="16" t="s">
        <v>40</v>
      </c>
      <c r="C61" s="17" t="s">
        <v>19</v>
      </c>
      <c r="D61" s="16" t="s">
        <v>97</v>
      </c>
      <c r="E61" s="19" t="s">
        <v>15</v>
      </c>
      <c r="F61" s="11">
        <v>0</v>
      </c>
      <c r="G61" s="18" t="s">
        <v>16</v>
      </c>
      <c r="H61" s="13" t="s">
        <v>36</v>
      </c>
      <c r="I61" s="21">
        <v>46188</v>
      </c>
      <c r="J61" s="17"/>
    </row>
    <row r="62" spans="1:10" x14ac:dyDescent="0.25">
      <c r="A62" s="7" t="e">
        <f t="shared" si="0"/>
        <v>#REF!</v>
      </c>
      <c r="B62" s="16" t="s">
        <v>40</v>
      </c>
      <c r="C62" s="17" t="s">
        <v>19</v>
      </c>
      <c r="D62" s="16" t="s">
        <v>98</v>
      </c>
      <c r="E62" s="19" t="s">
        <v>15</v>
      </c>
      <c r="F62" s="11">
        <v>0</v>
      </c>
      <c r="G62" s="27" t="s">
        <v>16</v>
      </c>
      <c r="H62" s="13" t="s">
        <v>17</v>
      </c>
      <c r="I62" s="21">
        <v>46188</v>
      </c>
      <c r="J62" s="17"/>
    </row>
    <row r="63" spans="1:10" ht="25.5" hidden="1" x14ac:dyDescent="0.25">
      <c r="A63" s="7" t="e">
        <f t="shared" si="0"/>
        <v>#REF!</v>
      </c>
      <c r="B63" s="16" t="s">
        <v>99</v>
      </c>
      <c r="C63" s="17" t="s">
        <v>19</v>
      </c>
      <c r="D63" s="16" t="s">
        <v>24</v>
      </c>
      <c r="E63" s="19" t="s">
        <v>25</v>
      </c>
      <c r="F63" s="11">
        <v>0</v>
      </c>
      <c r="G63" s="18" t="s">
        <v>16</v>
      </c>
      <c r="H63" s="13" t="s">
        <v>17</v>
      </c>
      <c r="I63" s="17"/>
      <c r="J63" s="17"/>
    </row>
    <row r="64" spans="1:10" ht="25.5" hidden="1" x14ac:dyDescent="0.25">
      <c r="A64" s="7" t="e">
        <f t="shared" si="0"/>
        <v>#REF!</v>
      </c>
      <c r="B64" s="8" t="s">
        <v>99</v>
      </c>
      <c r="C64" s="9" t="s">
        <v>13</v>
      </c>
      <c r="D64" s="8" t="s">
        <v>26</v>
      </c>
      <c r="E64" s="14" t="s">
        <v>25</v>
      </c>
      <c r="F64" s="11">
        <v>0</v>
      </c>
      <c r="G64" s="18" t="s">
        <v>16</v>
      </c>
      <c r="H64" s="13" t="s">
        <v>17</v>
      </c>
      <c r="I64" s="28"/>
      <c r="J64" s="28"/>
    </row>
    <row r="65" spans="1:10" hidden="1" x14ac:dyDescent="0.25">
      <c r="A65" s="7" t="e">
        <f t="shared" si="0"/>
        <v>#REF!</v>
      </c>
      <c r="B65" s="16" t="s">
        <v>100</v>
      </c>
      <c r="C65" s="17" t="s">
        <v>19</v>
      </c>
      <c r="D65" s="16" t="s">
        <v>101</v>
      </c>
      <c r="E65" s="20" t="s">
        <v>21</v>
      </c>
      <c r="F65" s="11">
        <v>0</v>
      </c>
      <c r="G65" s="18" t="s">
        <v>16</v>
      </c>
      <c r="H65" s="13" t="s">
        <v>17</v>
      </c>
      <c r="I65" s="17"/>
      <c r="J65" s="17"/>
    </row>
    <row r="66" spans="1:10" ht="25.5" hidden="1" x14ac:dyDescent="0.25">
      <c r="A66" s="7" t="e">
        <f t="shared" si="0"/>
        <v>#REF!</v>
      </c>
      <c r="B66" s="8" t="s">
        <v>100</v>
      </c>
      <c r="C66" s="9" t="s">
        <v>19</v>
      </c>
      <c r="D66" s="8" t="s">
        <v>102</v>
      </c>
      <c r="E66" s="20" t="s">
        <v>21</v>
      </c>
      <c r="F66" s="11">
        <v>0</v>
      </c>
      <c r="G66" s="18" t="s">
        <v>16</v>
      </c>
      <c r="H66" s="13" t="s">
        <v>17</v>
      </c>
      <c r="I66" s="9"/>
      <c r="J66" s="9"/>
    </row>
    <row r="67" spans="1:10" hidden="1" x14ac:dyDescent="0.25">
      <c r="A67" s="7" t="e">
        <f t="shared" si="0"/>
        <v>#REF!</v>
      </c>
      <c r="B67" s="16" t="s">
        <v>100</v>
      </c>
      <c r="C67" s="17" t="s">
        <v>19</v>
      </c>
      <c r="D67" s="16" t="s">
        <v>103</v>
      </c>
      <c r="E67" s="20" t="s">
        <v>21</v>
      </c>
      <c r="F67" s="11">
        <v>0</v>
      </c>
      <c r="G67" s="18" t="s">
        <v>16</v>
      </c>
      <c r="H67" s="13" t="s">
        <v>17</v>
      </c>
      <c r="I67" s="17"/>
      <c r="J67" s="17"/>
    </row>
    <row r="68" spans="1:10" hidden="1" x14ac:dyDescent="0.25">
      <c r="A68" s="7" t="e">
        <f t="shared" ref="A68:A131" si="1">A67+1</f>
        <v>#REF!</v>
      </c>
      <c r="B68" s="8" t="s">
        <v>100</v>
      </c>
      <c r="C68" s="9" t="s">
        <v>19</v>
      </c>
      <c r="D68" s="8" t="s">
        <v>104</v>
      </c>
      <c r="E68" s="20" t="s">
        <v>21</v>
      </c>
      <c r="F68" s="11">
        <v>0</v>
      </c>
      <c r="G68" s="18" t="s">
        <v>16</v>
      </c>
      <c r="H68" s="13" t="s">
        <v>17</v>
      </c>
      <c r="I68" s="9"/>
      <c r="J68" s="9"/>
    </row>
    <row r="69" spans="1:10" hidden="1" x14ac:dyDescent="0.25">
      <c r="A69" s="7" t="e">
        <f t="shared" si="1"/>
        <v>#REF!</v>
      </c>
      <c r="B69" s="16" t="s">
        <v>100</v>
      </c>
      <c r="C69" s="17" t="s">
        <v>53</v>
      </c>
      <c r="D69" s="16" t="s">
        <v>105</v>
      </c>
      <c r="E69" s="20" t="s">
        <v>15</v>
      </c>
      <c r="F69" s="11">
        <v>0.5</v>
      </c>
      <c r="G69" s="18" t="s">
        <v>22</v>
      </c>
      <c r="H69" s="13" t="s">
        <v>17</v>
      </c>
      <c r="I69" s="17"/>
      <c r="J69" s="17"/>
    </row>
    <row r="70" spans="1:10" hidden="1" x14ac:dyDescent="0.25">
      <c r="A70" s="7" t="e">
        <f t="shared" si="1"/>
        <v>#REF!</v>
      </c>
      <c r="B70" s="8" t="s">
        <v>100</v>
      </c>
      <c r="C70" s="9" t="s">
        <v>13</v>
      </c>
      <c r="D70" s="8" t="s">
        <v>106</v>
      </c>
      <c r="E70" s="20" t="s">
        <v>15</v>
      </c>
      <c r="F70" s="11">
        <v>1</v>
      </c>
      <c r="G70" s="18" t="s">
        <v>29</v>
      </c>
      <c r="H70" s="13" t="s">
        <v>17</v>
      </c>
      <c r="I70" s="9"/>
      <c r="J70" s="9"/>
    </row>
    <row r="71" spans="1:10" hidden="1" x14ac:dyDescent="0.25">
      <c r="A71" s="7" t="e">
        <f t="shared" si="1"/>
        <v>#REF!</v>
      </c>
      <c r="B71" s="16" t="s">
        <v>100</v>
      </c>
      <c r="C71" s="17" t="s">
        <v>19</v>
      </c>
      <c r="D71" s="16" t="s">
        <v>107</v>
      </c>
      <c r="E71" s="20" t="s">
        <v>21</v>
      </c>
      <c r="F71" s="11">
        <v>1</v>
      </c>
      <c r="G71" s="18" t="s">
        <v>29</v>
      </c>
      <c r="H71" s="13" t="s">
        <v>36</v>
      </c>
      <c r="I71" s="17"/>
      <c r="J71" s="17"/>
    </row>
    <row r="72" spans="1:10" hidden="1" x14ac:dyDescent="0.25">
      <c r="A72" s="7" t="e">
        <f t="shared" si="1"/>
        <v>#REF!</v>
      </c>
      <c r="B72" s="16" t="s">
        <v>100</v>
      </c>
      <c r="C72" s="17" t="s">
        <v>19</v>
      </c>
      <c r="D72" s="16" t="s">
        <v>108</v>
      </c>
      <c r="E72" s="20" t="s">
        <v>21</v>
      </c>
      <c r="F72" s="11">
        <v>1</v>
      </c>
      <c r="G72" s="18" t="s">
        <v>29</v>
      </c>
      <c r="H72" s="13" t="s">
        <v>36</v>
      </c>
      <c r="I72" s="17"/>
      <c r="J72" s="17"/>
    </row>
    <row r="73" spans="1:10" hidden="1" x14ac:dyDescent="0.25">
      <c r="A73" s="7" t="e">
        <f t="shared" si="1"/>
        <v>#REF!</v>
      </c>
      <c r="B73" s="8" t="s">
        <v>100</v>
      </c>
      <c r="C73" s="9" t="s">
        <v>19</v>
      </c>
      <c r="D73" s="8" t="s">
        <v>109</v>
      </c>
      <c r="E73" s="20" t="s">
        <v>15</v>
      </c>
      <c r="F73" s="11">
        <v>0</v>
      </c>
      <c r="G73" s="18" t="s">
        <v>16</v>
      </c>
      <c r="H73" s="13" t="s">
        <v>36</v>
      </c>
      <c r="I73" s="9"/>
      <c r="J73" s="9"/>
    </row>
    <row r="74" spans="1:10" hidden="1" x14ac:dyDescent="0.25">
      <c r="A74" s="7" t="e">
        <f t="shared" si="1"/>
        <v>#REF!</v>
      </c>
      <c r="B74" s="8" t="s">
        <v>100</v>
      </c>
      <c r="C74" s="9" t="s">
        <v>19</v>
      </c>
      <c r="D74" s="8" t="s">
        <v>110</v>
      </c>
      <c r="E74" s="20" t="s">
        <v>21</v>
      </c>
      <c r="F74" s="11">
        <v>0</v>
      </c>
      <c r="G74" s="18" t="s">
        <v>16</v>
      </c>
      <c r="H74" s="13" t="s">
        <v>36</v>
      </c>
      <c r="I74" s="9"/>
      <c r="J74" s="9"/>
    </row>
    <row r="75" spans="1:10" ht="25.5" hidden="1" x14ac:dyDescent="0.25">
      <c r="A75" s="7" t="e">
        <f t="shared" si="1"/>
        <v>#REF!</v>
      </c>
      <c r="B75" s="16" t="s">
        <v>100</v>
      </c>
      <c r="C75" s="17" t="s">
        <v>13</v>
      </c>
      <c r="D75" s="16" t="s">
        <v>111</v>
      </c>
      <c r="E75" s="19" t="s">
        <v>15</v>
      </c>
      <c r="F75" s="11">
        <v>0.2</v>
      </c>
      <c r="G75" s="18" t="s">
        <v>22</v>
      </c>
      <c r="H75" s="13" t="s">
        <v>17</v>
      </c>
      <c r="I75" s="17" t="s">
        <v>112</v>
      </c>
      <c r="J75" s="17"/>
    </row>
    <row r="76" spans="1:10" x14ac:dyDescent="0.25">
      <c r="A76" s="7" t="e">
        <f t="shared" si="1"/>
        <v>#REF!</v>
      </c>
      <c r="B76" s="16" t="s">
        <v>40</v>
      </c>
      <c r="C76" s="17" t="s">
        <v>19</v>
      </c>
      <c r="D76" s="16" t="s">
        <v>113</v>
      </c>
      <c r="E76" s="20" t="s">
        <v>21</v>
      </c>
      <c r="F76" s="11">
        <v>0</v>
      </c>
      <c r="G76" s="15" t="s">
        <v>16</v>
      </c>
      <c r="H76" s="13" t="s">
        <v>36</v>
      </c>
      <c r="I76" s="21">
        <v>46188</v>
      </c>
      <c r="J76" s="17"/>
    </row>
    <row r="77" spans="1:10" x14ac:dyDescent="0.25">
      <c r="A77" s="7" t="e">
        <f t="shared" si="1"/>
        <v>#REF!</v>
      </c>
      <c r="B77" s="8" t="s">
        <v>30</v>
      </c>
      <c r="C77" s="9" t="s">
        <v>13</v>
      </c>
      <c r="D77" s="8" t="s">
        <v>114</v>
      </c>
      <c r="E77" s="14" t="s">
        <v>15</v>
      </c>
      <c r="F77" s="11">
        <v>0.1</v>
      </c>
      <c r="G77" s="13" t="s">
        <v>22</v>
      </c>
      <c r="H77" s="13" t="s">
        <v>17</v>
      </c>
      <c r="I77" s="22">
        <v>46189</v>
      </c>
      <c r="J77" s="9"/>
    </row>
    <row r="78" spans="1:10" x14ac:dyDescent="0.25">
      <c r="A78" s="7" t="e">
        <f t="shared" si="1"/>
        <v>#REF!</v>
      </c>
      <c r="B78" s="8" t="s">
        <v>30</v>
      </c>
      <c r="C78" s="9" t="s">
        <v>19</v>
      </c>
      <c r="D78" s="8" t="s">
        <v>115</v>
      </c>
      <c r="E78" s="25" t="s">
        <v>25</v>
      </c>
      <c r="F78" s="11">
        <v>0</v>
      </c>
      <c r="G78" s="26" t="s">
        <v>116</v>
      </c>
      <c r="H78" s="13" t="s">
        <v>36</v>
      </c>
      <c r="I78" s="22">
        <v>46189</v>
      </c>
      <c r="J78" s="9"/>
    </row>
    <row r="79" spans="1:10" x14ac:dyDescent="0.25">
      <c r="A79" s="7" t="e">
        <f t="shared" si="1"/>
        <v>#REF!</v>
      </c>
      <c r="B79" s="16" t="s">
        <v>30</v>
      </c>
      <c r="C79" s="17" t="s">
        <v>19</v>
      </c>
      <c r="D79" s="16" t="s">
        <v>117</v>
      </c>
      <c r="E79" s="14" t="s">
        <v>15</v>
      </c>
      <c r="F79" s="11">
        <v>0</v>
      </c>
      <c r="G79" s="24" t="s">
        <v>16</v>
      </c>
      <c r="H79" s="13" t="s">
        <v>17</v>
      </c>
      <c r="I79" s="22">
        <v>46189</v>
      </c>
      <c r="J79" s="17"/>
    </row>
    <row r="80" spans="1:10" x14ac:dyDescent="0.25">
      <c r="A80" s="7" t="e">
        <f t="shared" si="1"/>
        <v>#REF!</v>
      </c>
      <c r="B80" s="8" t="s">
        <v>30</v>
      </c>
      <c r="C80" s="9" t="s">
        <v>19</v>
      </c>
      <c r="D80" s="8" t="s">
        <v>118</v>
      </c>
      <c r="E80" s="14" t="s">
        <v>15</v>
      </c>
      <c r="F80" s="11">
        <v>0.8</v>
      </c>
      <c r="G80" s="18" t="s">
        <v>29</v>
      </c>
      <c r="H80" s="13" t="s">
        <v>36</v>
      </c>
      <c r="I80" s="22">
        <v>46189</v>
      </c>
      <c r="J80" s="9"/>
    </row>
    <row r="81" spans="1:10" x14ac:dyDescent="0.25">
      <c r="A81" s="7" t="e">
        <f t="shared" si="1"/>
        <v>#REF!</v>
      </c>
      <c r="B81" s="8" t="s">
        <v>30</v>
      </c>
      <c r="C81" s="9" t="s">
        <v>19</v>
      </c>
      <c r="D81" s="8" t="s">
        <v>119</v>
      </c>
      <c r="E81" s="14" t="s">
        <v>15</v>
      </c>
      <c r="F81" s="11">
        <v>0.8</v>
      </c>
      <c r="G81" s="18" t="s">
        <v>29</v>
      </c>
      <c r="H81" s="13" t="s">
        <v>36</v>
      </c>
      <c r="I81" s="22">
        <v>46189</v>
      </c>
      <c r="J81" s="9"/>
    </row>
    <row r="82" spans="1:10" x14ac:dyDescent="0.25">
      <c r="A82" s="7" t="e">
        <f t="shared" si="1"/>
        <v>#REF!</v>
      </c>
      <c r="B82" s="8" t="s">
        <v>30</v>
      </c>
      <c r="C82" s="9" t="s">
        <v>13</v>
      </c>
      <c r="D82" s="8" t="s">
        <v>120</v>
      </c>
      <c r="E82" s="19" t="s">
        <v>21</v>
      </c>
      <c r="F82" s="11">
        <v>0</v>
      </c>
      <c r="G82" s="27" t="s">
        <v>22</v>
      </c>
      <c r="H82" s="13" t="s">
        <v>36</v>
      </c>
      <c r="I82" s="22">
        <v>46189</v>
      </c>
      <c r="J82" s="9"/>
    </row>
    <row r="83" spans="1:10" x14ac:dyDescent="0.25">
      <c r="A83" s="7" t="e">
        <f t="shared" si="1"/>
        <v>#REF!</v>
      </c>
      <c r="B83" s="16" t="s">
        <v>30</v>
      </c>
      <c r="C83" s="17" t="s">
        <v>13</v>
      </c>
      <c r="D83" s="16" t="s">
        <v>121</v>
      </c>
      <c r="E83" s="20" t="s">
        <v>15</v>
      </c>
      <c r="F83" s="11">
        <v>0.8</v>
      </c>
      <c r="G83" s="18" t="s">
        <v>29</v>
      </c>
      <c r="H83" s="13" t="s">
        <v>17</v>
      </c>
      <c r="I83" s="22">
        <v>46189</v>
      </c>
      <c r="J83" s="17"/>
    </row>
    <row r="84" spans="1:10" x14ac:dyDescent="0.25">
      <c r="A84" s="7" t="e">
        <f t="shared" si="1"/>
        <v>#REF!</v>
      </c>
      <c r="B84" s="8" t="s">
        <v>30</v>
      </c>
      <c r="C84" s="9" t="s">
        <v>13</v>
      </c>
      <c r="D84" s="8" t="s">
        <v>122</v>
      </c>
      <c r="E84" s="20" t="s">
        <v>15</v>
      </c>
      <c r="F84" s="11">
        <v>1</v>
      </c>
      <c r="G84" s="18" t="s">
        <v>29</v>
      </c>
      <c r="H84" s="13" t="s">
        <v>17</v>
      </c>
      <c r="I84" s="22">
        <v>46189</v>
      </c>
      <c r="J84" s="9"/>
    </row>
    <row r="85" spans="1:10" x14ac:dyDescent="0.25">
      <c r="A85" s="7" t="e">
        <f t="shared" si="1"/>
        <v>#REF!</v>
      </c>
      <c r="B85" s="16" t="s">
        <v>30</v>
      </c>
      <c r="C85" s="17" t="s">
        <v>13</v>
      </c>
      <c r="D85" s="16" t="s">
        <v>123</v>
      </c>
      <c r="E85" s="20" t="s">
        <v>15</v>
      </c>
      <c r="F85" s="11">
        <v>1</v>
      </c>
      <c r="G85" s="18" t="s">
        <v>29</v>
      </c>
      <c r="H85" s="13" t="s">
        <v>17</v>
      </c>
      <c r="I85" s="22">
        <v>46189</v>
      </c>
      <c r="J85" s="17"/>
    </row>
    <row r="86" spans="1:10" x14ac:dyDescent="0.25">
      <c r="A86" s="7" t="e">
        <f t="shared" si="1"/>
        <v>#REF!</v>
      </c>
      <c r="B86" s="8" t="s">
        <v>30</v>
      </c>
      <c r="C86" s="9" t="s">
        <v>19</v>
      </c>
      <c r="D86" s="8" t="s">
        <v>124</v>
      </c>
      <c r="E86" s="20" t="s">
        <v>15</v>
      </c>
      <c r="F86" s="11">
        <v>1</v>
      </c>
      <c r="G86" s="18" t="s">
        <v>29</v>
      </c>
      <c r="H86" s="13" t="s">
        <v>17</v>
      </c>
      <c r="I86" s="22">
        <v>46189</v>
      </c>
      <c r="J86" s="9"/>
    </row>
    <row r="87" spans="1:10" ht="25.5" hidden="1" x14ac:dyDescent="0.25">
      <c r="A87" s="7" t="e">
        <f t="shared" si="1"/>
        <v>#REF!</v>
      </c>
      <c r="B87" s="16" t="s">
        <v>125</v>
      </c>
      <c r="C87" s="17" t="s">
        <v>13</v>
      </c>
      <c r="D87" s="29" t="s">
        <v>126</v>
      </c>
      <c r="E87" s="20" t="s">
        <v>15</v>
      </c>
      <c r="F87" s="11">
        <v>0</v>
      </c>
      <c r="G87" s="18" t="s">
        <v>16</v>
      </c>
      <c r="H87" s="13" t="s">
        <v>17</v>
      </c>
      <c r="I87" s="21">
        <v>46186</v>
      </c>
      <c r="J87" s="17"/>
    </row>
    <row r="88" spans="1:10" ht="25.5" hidden="1" x14ac:dyDescent="0.25">
      <c r="A88" s="7" t="e">
        <f t="shared" si="1"/>
        <v>#REF!</v>
      </c>
      <c r="B88" s="16" t="s">
        <v>125</v>
      </c>
      <c r="C88" s="17" t="s">
        <v>13</v>
      </c>
      <c r="D88" s="29" t="s">
        <v>127</v>
      </c>
      <c r="E88" s="20" t="s">
        <v>15</v>
      </c>
      <c r="F88" s="11">
        <v>0</v>
      </c>
      <c r="G88" s="18" t="s">
        <v>116</v>
      </c>
      <c r="H88" s="13" t="s">
        <v>36</v>
      </c>
      <c r="I88" s="17" t="s">
        <v>128</v>
      </c>
      <c r="J88" s="17"/>
    </row>
    <row r="89" spans="1:10" ht="25.5" hidden="1" x14ac:dyDescent="0.25">
      <c r="A89" s="7" t="e">
        <f t="shared" si="1"/>
        <v>#REF!</v>
      </c>
      <c r="B89" s="16" t="s">
        <v>125</v>
      </c>
      <c r="C89" s="9" t="s">
        <v>13</v>
      </c>
      <c r="D89" s="30" t="s">
        <v>129</v>
      </c>
      <c r="E89" s="20" t="s">
        <v>15</v>
      </c>
      <c r="F89" s="11">
        <v>0</v>
      </c>
      <c r="G89" s="18" t="s">
        <v>116</v>
      </c>
      <c r="H89" s="13" t="s">
        <v>17</v>
      </c>
      <c r="I89" s="9" t="s">
        <v>128</v>
      </c>
      <c r="J89" s="9"/>
    </row>
    <row r="90" spans="1:10" ht="25.5" hidden="1" x14ac:dyDescent="0.25">
      <c r="A90" s="7" t="e">
        <f t="shared" si="1"/>
        <v>#REF!</v>
      </c>
      <c r="B90" s="16" t="s">
        <v>125</v>
      </c>
      <c r="C90" s="17" t="s">
        <v>13</v>
      </c>
      <c r="D90" s="16" t="s">
        <v>130</v>
      </c>
      <c r="E90" s="20" t="s">
        <v>15</v>
      </c>
      <c r="F90" s="11">
        <v>0.5</v>
      </c>
      <c r="G90" s="27" t="s">
        <v>22</v>
      </c>
      <c r="H90" s="13" t="s">
        <v>17</v>
      </c>
      <c r="I90" s="17" t="s">
        <v>131</v>
      </c>
      <c r="J90" s="17"/>
    </row>
    <row r="91" spans="1:10" ht="25.5" hidden="1" x14ac:dyDescent="0.25">
      <c r="A91" s="7" t="e">
        <f t="shared" si="1"/>
        <v>#REF!</v>
      </c>
      <c r="B91" s="16" t="s">
        <v>125</v>
      </c>
      <c r="C91" s="17" t="s">
        <v>13</v>
      </c>
      <c r="D91" s="16" t="s">
        <v>132</v>
      </c>
      <c r="E91" s="20" t="s">
        <v>15</v>
      </c>
      <c r="F91" s="11">
        <v>0</v>
      </c>
      <c r="G91" s="18" t="s">
        <v>16</v>
      </c>
      <c r="H91" s="13" t="s">
        <v>17</v>
      </c>
      <c r="I91" s="17"/>
      <c r="J91" s="17"/>
    </row>
    <row r="92" spans="1:10" ht="25.5" hidden="1" x14ac:dyDescent="0.25">
      <c r="A92" s="7" t="e">
        <f t="shared" si="1"/>
        <v>#REF!</v>
      </c>
      <c r="B92" s="16" t="s">
        <v>125</v>
      </c>
      <c r="C92" s="9" t="s">
        <v>13</v>
      </c>
      <c r="D92" s="8" t="s">
        <v>133</v>
      </c>
      <c r="E92" s="20" t="s">
        <v>15</v>
      </c>
      <c r="F92" s="11">
        <v>0.5</v>
      </c>
      <c r="G92" s="27" t="s">
        <v>22</v>
      </c>
      <c r="H92" s="13" t="s">
        <v>17</v>
      </c>
      <c r="I92" s="9"/>
      <c r="J92" s="9"/>
    </row>
    <row r="93" spans="1:10" x14ac:dyDescent="0.25">
      <c r="A93" s="7" t="e">
        <f t="shared" si="1"/>
        <v>#REF!</v>
      </c>
      <c r="B93" s="8" t="s">
        <v>30</v>
      </c>
      <c r="C93" s="9" t="s">
        <v>19</v>
      </c>
      <c r="D93" s="8" t="s">
        <v>134</v>
      </c>
      <c r="E93" s="20" t="s">
        <v>15</v>
      </c>
      <c r="F93" s="11">
        <v>1</v>
      </c>
      <c r="G93" s="18" t="s">
        <v>29</v>
      </c>
      <c r="H93" s="13" t="s">
        <v>17</v>
      </c>
      <c r="I93" s="22">
        <v>46189</v>
      </c>
      <c r="J93" s="9"/>
    </row>
    <row r="94" spans="1:10" x14ac:dyDescent="0.25">
      <c r="A94" s="7" t="e">
        <f t="shared" si="1"/>
        <v>#REF!</v>
      </c>
      <c r="B94" s="16" t="s">
        <v>30</v>
      </c>
      <c r="C94" s="17" t="s">
        <v>19</v>
      </c>
      <c r="D94" s="16" t="s">
        <v>135</v>
      </c>
      <c r="E94" s="20" t="s">
        <v>15</v>
      </c>
      <c r="F94" s="11">
        <v>1</v>
      </c>
      <c r="G94" s="18" t="s">
        <v>29</v>
      </c>
      <c r="H94" s="13" t="s">
        <v>17</v>
      </c>
      <c r="I94" s="22">
        <v>46189</v>
      </c>
      <c r="J94" s="17"/>
    </row>
    <row r="95" spans="1:10" x14ac:dyDescent="0.25">
      <c r="A95" s="7" t="e">
        <f t="shared" si="1"/>
        <v>#REF!</v>
      </c>
      <c r="B95" s="16" t="s">
        <v>30</v>
      </c>
      <c r="C95" s="9" t="s">
        <v>19</v>
      </c>
      <c r="D95" s="8" t="s">
        <v>136</v>
      </c>
      <c r="E95" s="14" t="s">
        <v>15</v>
      </c>
      <c r="F95" s="11">
        <v>0</v>
      </c>
      <c r="G95" s="24" t="s">
        <v>16</v>
      </c>
      <c r="H95" s="13" t="s">
        <v>17</v>
      </c>
      <c r="I95" s="22">
        <v>46189</v>
      </c>
      <c r="J95" s="17"/>
    </row>
    <row r="96" spans="1:10" x14ac:dyDescent="0.25">
      <c r="A96" s="7" t="e">
        <f t="shared" si="1"/>
        <v>#REF!</v>
      </c>
      <c r="B96" s="8" t="s">
        <v>30</v>
      </c>
      <c r="C96" s="9" t="s">
        <v>19</v>
      </c>
      <c r="D96" s="8" t="s">
        <v>137</v>
      </c>
      <c r="E96" s="19" t="s">
        <v>21</v>
      </c>
      <c r="F96" s="11">
        <v>0</v>
      </c>
      <c r="G96" s="31" t="s">
        <v>116</v>
      </c>
      <c r="H96" s="13" t="s">
        <v>36</v>
      </c>
      <c r="I96" s="22">
        <v>46189</v>
      </c>
      <c r="J96" s="9"/>
    </row>
    <row r="97" spans="1:10" x14ac:dyDescent="0.25">
      <c r="A97" s="7" t="e">
        <f t="shared" si="1"/>
        <v>#REF!</v>
      </c>
      <c r="B97" s="8" t="s">
        <v>30</v>
      </c>
      <c r="C97" s="9" t="s">
        <v>19</v>
      </c>
      <c r="D97" s="8" t="s">
        <v>138</v>
      </c>
      <c r="E97" s="19" t="s">
        <v>21</v>
      </c>
      <c r="F97" s="11">
        <v>0.4</v>
      </c>
      <c r="G97" s="18" t="s">
        <v>22</v>
      </c>
      <c r="H97" s="13" t="s">
        <v>17</v>
      </c>
      <c r="I97" s="22">
        <v>46189</v>
      </c>
      <c r="J97" s="9"/>
    </row>
    <row r="98" spans="1:10" x14ac:dyDescent="0.25">
      <c r="A98" s="7" t="e">
        <f t="shared" si="1"/>
        <v>#REF!</v>
      </c>
      <c r="B98" s="16" t="s">
        <v>30</v>
      </c>
      <c r="C98" s="17" t="s">
        <v>19</v>
      </c>
      <c r="D98" s="16" t="s">
        <v>139</v>
      </c>
      <c r="E98" s="19" t="s">
        <v>21</v>
      </c>
      <c r="F98" s="11">
        <v>0</v>
      </c>
      <c r="G98" s="18" t="s">
        <v>16</v>
      </c>
      <c r="H98" s="13" t="s">
        <v>17</v>
      </c>
      <c r="I98" s="22">
        <v>46189</v>
      </c>
      <c r="J98" s="17"/>
    </row>
    <row r="99" spans="1:10" ht="25.5" x14ac:dyDescent="0.25">
      <c r="A99" s="7" t="e">
        <f t="shared" si="1"/>
        <v>#REF!</v>
      </c>
      <c r="B99" s="8" t="s">
        <v>30</v>
      </c>
      <c r="C99" s="9" t="s">
        <v>19</v>
      </c>
      <c r="D99" s="8" t="s">
        <v>140</v>
      </c>
      <c r="E99" s="19" t="s">
        <v>21</v>
      </c>
      <c r="F99" s="11">
        <v>0</v>
      </c>
      <c r="G99" s="18" t="s">
        <v>16</v>
      </c>
      <c r="H99" s="13" t="s">
        <v>17</v>
      </c>
      <c r="I99" s="22">
        <v>46189</v>
      </c>
      <c r="J99" s="9"/>
    </row>
    <row r="100" spans="1:10" x14ac:dyDescent="0.25">
      <c r="A100" s="7" t="e">
        <f t="shared" si="1"/>
        <v>#REF!</v>
      </c>
      <c r="B100" s="16" t="s">
        <v>30</v>
      </c>
      <c r="C100" s="17" t="s">
        <v>19</v>
      </c>
      <c r="D100" s="16" t="s">
        <v>141</v>
      </c>
      <c r="E100" s="20" t="s">
        <v>21</v>
      </c>
      <c r="F100" s="11">
        <v>0</v>
      </c>
      <c r="G100" s="15" t="s">
        <v>16</v>
      </c>
      <c r="H100" s="13" t="s">
        <v>17</v>
      </c>
      <c r="I100" s="22">
        <v>46189</v>
      </c>
      <c r="J100" s="17"/>
    </row>
    <row r="101" spans="1:10" x14ac:dyDescent="0.25">
      <c r="A101" s="7" t="e">
        <f t="shared" si="1"/>
        <v>#REF!</v>
      </c>
      <c r="B101" s="8" t="s">
        <v>142</v>
      </c>
      <c r="C101" s="9" t="s">
        <v>19</v>
      </c>
      <c r="D101" s="8" t="s">
        <v>143</v>
      </c>
      <c r="E101" s="14" t="s">
        <v>15</v>
      </c>
      <c r="F101" s="11">
        <v>0</v>
      </c>
      <c r="G101" s="23" t="s">
        <v>22</v>
      </c>
      <c r="H101" s="13" t="s">
        <v>17</v>
      </c>
      <c r="I101" s="22">
        <v>46192</v>
      </c>
      <c r="J101" s="9"/>
    </row>
    <row r="102" spans="1:10" x14ac:dyDescent="0.25">
      <c r="A102" s="7" t="e">
        <f t="shared" si="1"/>
        <v>#REF!</v>
      </c>
      <c r="B102" s="8" t="s">
        <v>142</v>
      </c>
      <c r="C102" s="9" t="s">
        <v>19</v>
      </c>
      <c r="D102" s="8" t="s">
        <v>144</v>
      </c>
      <c r="E102" s="14" t="s">
        <v>15</v>
      </c>
      <c r="F102" s="11">
        <v>0.5</v>
      </c>
      <c r="G102" s="13" t="s">
        <v>22</v>
      </c>
      <c r="H102" s="13" t="s">
        <v>17</v>
      </c>
      <c r="I102" s="22">
        <v>46192</v>
      </c>
      <c r="J102" s="9"/>
    </row>
    <row r="103" spans="1:10" x14ac:dyDescent="0.25">
      <c r="A103" s="7" t="e">
        <f t="shared" si="1"/>
        <v>#REF!</v>
      </c>
      <c r="B103" s="16" t="s">
        <v>142</v>
      </c>
      <c r="C103" s="17" t="s">
        <v>13</v>
      </c>
      <c r="D103" s="16" t="s">
        <v>145</v>
      </c>
      <c r="E103" s="14" t="s">
        <v>15</v>
      </c>
      <c r="F103" s="11">
        <v>0</v>
      </c>
      <c r="G103" s="12" t="s">
        <v>16</v>
      </c>
      <c r="H103" s="24" t="s">
        <v>36</v>
      </c>
      <c r="I103" s="22">
        <v>46192</v>
      </c>
      <c r="J103" s="17"/>
    </row>
    <row r="104" spans="1:10" x14ac:dyDescent="0.25">
      <c r="A104" s="7" t="e">
        <f t="shared" si="1"/>
        <v>#REF!</v>
      </c>
      <c r="B104" s="8" t="s">
        <v>142</v>
      </c>
      <c r="C104" s="9" t="s">
        <v>13</v>
      </c>
      <c r="D104" s="8" t="s">
        <v>146</v>
      </c>
      <c r="E104" s="14" t="s">
        <v>15</v>
      </c>
      <c r="F104" s="11">
        <v>0.5</v>
      </c>
      <c r="G104" s="18" t="s">
        <v>29</v>
      </c>
      <c r="H104" s="13" t="s">
        <v>17</v>
      </c>
      <c r="I104" s="22">
        <v>46192</v>
      </c>
      <c r="J104" s="9"/>
    </row>
    <row r="105" spans="1:10" x14ac:dyDescent="0.25">
      <c r="A105" s="7" t="e">
        <f t="shared" si="1"/>
        <v>#REF!</v>
      </c>
      <c r="B105" s="16" t="s">
        <v>142</v>
      </c>
      <c r="C105" s="17" t="s">
        <v>13</v>
      </c>
      <c r="D105" s="16" t="s">
        <v>147</v>
      </c>
      <c r="E105" s="14" t="s">
        <v>15</v>
      </c>
      <c r="F105" s="11">
        <v>0.5</v>
      </c>
      <c r="G105" s="18" t="s">
        <v>29</v>
      </c>
      <c r="H105" s="13" t="s">
        <v>17</v>
      </c>
      <c r="I105" s="22">
        <v>46192</v>
      </c>
      <c r="J105" s="17"/>
    </row>
    <row r="106" spans="1:10" x14ac:dyDescent="0.25">
      <c r="A106" s="7" t="e">
        <f t="shared" si="1"/>
        <v>#REF!</v>
      </c>
      <c r="B106" s="8" t="s">
        <v>142</v>
      </c>
      <c r="C106" s="9" t="s">
        <v>13</v>
      </c>
      <c r="D106" s="8" t="s">
        <v>148</v>
      </c>
      <c r="E106" s="14" t="s">
        <v>15</v>
      </c>
      <c r="F106" s="11">
        <v>0.5</v>
      </c>
      <c r="G106" s="18" t="s">
        <v>29</v>
      </c>
      <c r="H106" s="13" t="s">
        <v>17</v>
      </c>
      <c r="I106" s="22">
        <v>46192</v>
      </c>
      <c r="J106" s="9"/>
    </row>
    <row r="107" spans="1:10" x14ac:dyDescent="0.25">
      <c r="A107" s="7" t="e">
        <f t="shared" si="1"/>
        <v>#REF!</v>
      </c>
      <c r="B107" s="16" t="s">
        <v>142</v>
      </c>
      <c r="C107" s="17" t="s">
        <v>19</v>
      </c>
      <c r="D107" s="16" t="s">
        <v>149</v>
      </c>
      <c r="E107" s="14" t="s">
        <v>15</v>
      </c>
      <c r="F107" s="11">
        <v>0.8</v>
      </c>
      <c r="G107" s="18" t="s">
        <v>29</v>
      </c>
      <c r="H107" s="13" t="s">
        <v>17</v>
      </c>
      <c r="I107" s="22">
        <v>46192</v>
      </c>
      <c r="J107" s="17"/>
    </row>
    <row r="108" spans="1:10" x14ac:dyDescent="0.25">
      <c r="A108" s="7" t="e">
        <f t="shared" si="1"/>
        <v>#REF!</v>
      </c>
      <c r="B108" s="16" t="s">
        <v>142</v>
      </c>
      <c r="C108" s="17" t="s">
        <v>19</v>
      </c>
      <c r="D108" s="16" t="s">
        <v>150</v>
      </c>
      <c r="E108" s="14" t="s">
        <v>15</v>
      </c>
      <c r="F108" s="11">
        <v>0.8</v>
      </c>
      <c r="G108" s="18" t="s">
        <v>29</v>
      </c>
      <c r="H108" s="13" t="s">
        <v>17</v>
      </c>
      <c r="I108" s="22">
        <v>46192</v>
      </c>
      <c r="J108" s="17"/>
    </row>
    <row r="109" spans="1:10" x14ac:dyDescent="0.25">
      <c r="A109" s="7" t="e">
        <f t="shared" si="1"/>
        <v>#REF!</v>
      </c>
      <c r="B109" s="8" t="s">
        <v>142</v>
      </c>
      <c r="C109" s="9" t="s">
        <v>19</v>
      </c>
      <c r="D109" s="8" t="s">
        <v>151</v>
      </c>
      <c r="E109" s="14" t="s">
        <v>15</v>
      </c>
      <c r="F109" s="11">
        <v>0.8</v>
      </c>
      <c r="G109" s="18" t="s">
        <v>29</v>
      </c>
      <c r="H109" s="13" t="s">
        <v>17</v>
      </c>
      <c r="I109" s="22">
        <v>46192</v>
      </c>
      <c r="J109" s="9"/>
    </row>
    <row r="110" spans="1:10" x14ac:dyDescent="0.25">
      <c r="A110" s="7" t="e">
        <f t="shared" si="1"/>
        <v>#REF!</v>
      </c>
      <c r="B110" s="8" t="s">
        <v>142</v>
      </c>
      <c r="C110" s="9" t="s">
        <v>19</v>
      </c>
      <c r="D110" s="8" t="s">
        <v>152</v>
      </c>
      <c r="E110" s="14" t="s">
        <v>15</v>
      </c>
      <c r="F110" s="11">
        <v>0</v>
      </c>
      <c r="G110" s="13" t="s">
        <v>16</v>
      </c>
      <c r="H110" s="13" t="s">
        <v>17</v>
      </c>
      <c r="I110" s="22">
        <v>46192</v>
      </c>
      <c r="J110" s="9"/>
    </row>
    <row r="111" spans="1:10" x14ac:dyDescent="0.25">
      <c r="A111" s="7" t="e">
        <f t="shared" si="1"/>
        <v>#REF!</v>
      </c>
      <c r="B111" s="16" t="s">
        <v>142</v>
      </c>
      <c r="C111" s="17" t="s">
        <v>19</v>
      </c>
      <c r="D111" s="16" t="s">
        <v>153</v>
      </c>
      <c r="E111" s="14" t="s">
        <v>15</v>
      </c>
      <c r="F111" s="11">
        <v>0</v>
      </c>
      <c r="G111" s="13" t="s">
        <v>16</v>
      </c>
      <c r="H111" s="13" t="s">
        <v>17</v>
      </c>
      <c r="I111" s="22">
        <v>46192</v>
      </c>
      <c r="J111" s="17"/>
    </row>
    <row r="112" spans="1:10" x14ac:dyDescent="0.25">
      <c r="A112" s="7" t="e">
        <f t="shared" si="1"/>
        <v>#REF!</v>
      </c>
      <c r="B112" s="8" t="s">
        <v>142</v>
      </c>
      <c r="C112" s="9" t="s">
        <v>13</v>
      </c>
      <c r="D112" s="8" t="s">
        <v>154</v>
      </c>
      <c r="E112" s="14" t="s">
        <v>15</v>
      </c>
      <c r="F112" s="11">
        <v>0</v>
      </c>
      <c r="G112" s="13" t="s">
        <v>16</v>
      </c>
      <c r="H112" s="13" t="s">
        <v>17</v>
      </c>
      <c r="I112" s="22">
        <v>46192</v>
      </c>
      <c r="J112" s="9"/>
    </row>
    <row r="113" spans="1:10" x14ac:dyDescent="0.25">
      <c r="A113" s="7" t="e">
        <f t="shared" si="1"/>
        <v>#REF!</v>
      </c>
      <c r="B113" s="8" t="s">
        <v>142</v>
      </c>
      <c r="C113" s="9" t="s">
        <v>19</v>
      </c>
      <c r="D113" s="8" t="s">
        <v>155</v>
      </c>
      <c r="E113" s="14" t="s">
        <v>15</v>
      </c>
      <c r="F113" s="11">
        <v>0</v>
      </c>
      <c r="G113" s="13" t="s">
        <v>16</v>
      </c>
      <c r="H113" s="13" t="s">
        <v>17</v>
      </c>
      <c r="I113" s="22">
        <v>46192</v>
      </c>
      <c r="J113" s="9"/>
    </row>
    <row r="114" spans="1:10" x14ac:dyDescent="0.25">
      <c r="A114" s="7" t="e">
        <f t="shared" si="1"/>
        <v>#REF!</v>
      </c>
      <c r="B114" s="16" t="s">
        <v>142</v>
      </c>
      <c r="C114" s="17" t="s">
        <v>19</v>
      </c>
      <c r="D114" s="16" t="s">
        <v>156</v>
      </c>
      <c r="E114" s="14" t="s">
        <v>15</v>
      </c>
      <c r="F114" s="11">
        <v>0</v>
      </c>
      <c r="G114" s="18" t="s">
        <v>16</v>
      </c>
      <c r="H114" s="13" t="s">
        <v>17</v>
      </c>
      <c r="I114" s="22">
        <v>46192</v>
      </c>
      <c r="J114" s="17"/>
    </row>
    <row r="115" spans="1:10" x14ac:dyDescent="0.25">
      <c r="A115" s="7" t="e">
        <f t="shared" si="1"/>
        <v>#REF!</v>
      </c>
      <c r="B115" s="16" t="s">
        <v>142</v>
      </c>
      <c r="C115" s="17" t="s">
        <v>19</v>
      </c>
      <c r="D115" s="16" t="s">
        <v>157</v>
      </c>
      <c r="E115" s="14" t="s">
        <v>15</v>
      </c>
      <c r="F115" s="11">
        <v>0</v>
      </c>
      <c r="G115" s="18" t="s">
        <v>16</v>
      </c>
      <c r="H115" s="13" t="s">
        <v>17</v>
      </c>
      <c r="I115" s="22">
        <v>46192</v>
      </c>
      <c r="J115" s="17"/>
    </row>
    <row r="116" spans="1:10" ht="25.5" x14ac:dyDescent="0.25">
      <c r="A116" s="7" t="e">
        <f t="shared" si="1"/>
        <v>#REF!</v>
      </c>
      <c r="B116" s="8" t="s">
        <v>142</v>
      </c>
      <c r="C116" s="9" t="s">
        <v>19</v>
      </c>
      <c r="D116" s="8" t="s">
        <v>158</v>
      </c>
      <c r="E116" s="14" t="s">
        <v>15</v>
      </c>
      <c r="F116" s="11">
        <v>0</v>
      </c>
      <c r="G116" s="18" t="s">
        <v>16</v>
      </c>
      <c r="H116" s="13" t="s">
        <v>17</v>
      </c>
      <c r="I116" s="22">
        <v>46192</v>
      </c>
      <c r="J116" s="9"/>
    </row>
    <row r="117" spans="1:10" x14ac:dyDescent="0.25">
      <c r="A117" s="7" t="e">
        <f t="shared" si="1"/>
        <v>#REF!</v>
      </c>
      <c r="B117" s="16" t="s">
        <v>142</v>
      </c>
      <c r="C117" s="17" t="s">
        <v>19</v>
      </c>
      <c r="D117" s="16" t="s">
        <v>159</v>
      </c>
      <c r="E117" s="14" t="s">
        <v>15</v>
      </c>
      <c r="F117" s="11">
        <v>0.8</v>
      </c>
      <c r="G117" s="15" t="s">
        <v>22</v>
      </c>
      <c r="H117" s="13" t="s">
        <v>17</v>
      </c>
      <c r="I117" s="22">
        <v>46192</v>
      </c>
      <c r="J117" s="17"/>
    </row>
    <row r="118" spans="1:10" x14ac:dyDescent="0.25">
      <c r="A118" s="7" t="e">
        <f t="shared" si="1"/>
        <v>#REF!</v>
      </c>
      <c r="B118" s="16" t="s">
        <v>40</v>
      </c>
      <c r="C118" s="17" t="s">
        <v>13</v>
      </c>
      <c r="D118" s="16" t="s">
        <v>49</v>
      </c>
      <c r="E118" s="19" t="s">
        <v>15</v>
      </c>
      <c r="F118" s="11">
        <v>0</v>
      </c>
      <c r="G118" s="23" t="s">
        <v>22</v>
      </c>
      <c r="H118" s="13" t="s">
        <v>17</v>
      </c>
      <c r="I118" s="21">
        <v>46192</v>
      </c>
      <c r="J118" s="17"/>
    </row>
    <row r="119" spans="1:10" x14ac:dyDescent="0.25">
      <c r="A119" s="7" t="e">
        <f t="shared" si="1"/>
        <v>#REF!</v>
      </c>
      <c r="B119" s="16" t="s">
        <v>160</v>
      </c>
      <c r="C119" s="17" t="s">
        <v>19</v>
      </c>
      <c r="D119" s="16" t="s">
        <v>161</v>
      </c>
      <c r="E119" s="20" t="s">
        <v>21</v>
      </c>
      <c r="F119" s="11">
        <v>0</v>
      </c>
      <c r="G119" s="15" t="s">
        <v>16</v>
      </c>
      <c r="H119" s="24" t="s">
        <v>36</v>
      </c>
      <c r="I119" s="21">
        <v>46193</v>
      </c>
      <c r="J119" s="17"/>
    </row>
    <row r="120" spans="1:10" x14ac:dyDescent="0.25">
      <c r="A120" s="7" t="e">
        <f t="shared" si="1"/>
        <v>#REF!</v>
      </c>
      <c r="B120" s="8" t="s">
        <v>91</v>
      </c>
      <c r="C120" s="9" t="s">
        <v>19</v>
      </c>
      <c r="D120" s="8" t="s">
        <v>161</v>
      </c>
      <c r="E120" s="19" t="s">
        <v>15</v>
      </c>
      <c r="F120" s="11">
        <v>0</v>
      </c>
      <c r="G120" s="18" t="s">
        <v>16</v>
      </c>
      <c r="H120" s="24" t="s">
        <v>36</v>
      </c>
      <c r="I120" s="21">
        <v>46193</v>
      </c>
      <c r="J120" s="9"/>
    </row>
    <row r="121" spans="1:10" x14ac:dyDescent="0.25">
      <c r="A121" s="7" t="e">
        <f t="shared" si="1"/>
        <v>#REF!</v>
      </c>
      <c r="B121" s="8" t="s">
        <v>160</v>
      </c>
      <c r="C121" s="9" t="s">
        <v>19</v>
      </c>
      <c r="D121" s="8" t="s">
        <v>162</v>
      </c>
      <c r="E121" s="20" t="s">
        <v>21</v>
      </c>
      <c r="F121" s="11">
        <v>0.6</v>
      </c>
      <c r="G121" s="12" t="s">
        <v>22</v>
      </c>
      <c r="H121" s="13" t="s">
        <v>36</v>
      </c>
      <c r="I121" s="21">
        <v>46198</v>
      </c>
      <c r="J121" s="9"/>
    </row>
    <row r="122" spans="1:10" x14ac:dyDescent="0.25">
      <c r="A122" s="7" t="e">
        <f t="shared" si="1"/>
        <v>#REF!</v>
      </c>
      <c r="B122" s="16" t="s">
        <v>160</v>
      </c>
      <c r="C122" s="17" t="s">
        <v>19</v>
      </c>
      <c r="D122" s="16" t="s">
        <v>163</v>
      </c>
      <c r="E122" s="20" t="s">
        <v>21</v>
      </c>
      <c r="F122" s="11">
        <v>0.6</v>
      </c>
      <c r="G122" s="12" t="s">
        <v>22</v>
      </c>
      <c r="H122" s="13" t="s">
        <v>36</v>
      </c>
      <c r="I122" s="21">
        <v>46198</v>
      </c>
      <c r="J122" s="17"/>
    </row>
    <row r="123" spans="1:10" x14ac:dyDescent="0.25">
      <c r="A123" s="7" t="e">
        <f t="shared" si="1"/>
        <v>#REF!</v>
      </c>
      <c r="B123" s="8" t="s">
        <v>160</v>
      </c>
      <c r="C123" s="9" t="s">
        <v>19</v>
      </c>
      <c r="D123" s="8" t="s">
        <v>38</v>
      </c>
      <c r="E123" s="14" t="s">
        <v>21</v>
      </c>
      <c r="F123" s="11">
        <v>0.6</v>
      </c>
      <c r="G123" s="24" t="s">
        <v>22</v>
      </c>
      <c r="H123" s="13" t="s">
        <v>36</v>
      </c>
      <c r="I123" s="21">
        <v>46198</v>
      </c>
      <c r="J123" s="9"/>
    </row>
    <row r="124" spans="1:10" x14ac:dyDescent="0.25">
      <c r="A124" s="7" t="e">
        <f t="shared" si="1"/>
        <v>#REF!</v>
      </c>
      <c r="B124" s="16" t="s">
        <v>160</v>
      </c>
      <c r="C124" s="17" t="s">
        <v>19</v>
      </c>
      <c r="D124" s="16" t="s">
        <v>164</v>
      </c>
      <c r="E124" s="20" t="s">
        <v>15</v>
      </c>
      <c r="F124" s="11">
        <v>0.5</v>
      </c>
      <c r="G124" s="15" t="s">
        <v>22</v>
      </c>
      <c r="H124" s="13" t="s">
        <v>36</v>
      </c>
      <c r="I124" s="21">
        <v>46198</v>
      </c>
      <c r="J124" s="17"/>
    </row>
    <row r="125" spans="1:10" x14ac:dyDescent="0.25">
      <c r="A125" s="7" t="e">
        <f t="shared" si="1"/>
        <v>#REF!</v>
      </c>
      <c r="B125" s="16" t="s">
        <v>160</v>
      </c>
      <c r="C125" s="17" t="s">
        <v>19</v>
      </c>
      <c r="D125" s="16" t="s">
        <v>164</v>
      </c>
      <c r="E125" s="20" t="s">
        <v>15</v>
      </c>
      <c r="F125" s="11">
        <v>0.5</v>
      </c>
      <c r="G125" s="15" t="s">
        <v>22</v>
      </c>
      <c r="H125" s="13" t="s">
        <v>36</v>
      </c>
      <c r="I125" s="21">
        <v>46198</v>
      </c>
      <c r="J125" s="17"/>
    </row>
    <row r="126" spans="1:10" ht="25.5" x14ac:dyDescent="0.25">
      <c r="A126" s="7" t="e">
        <f t="shared" si="1"/>
        <v>#REF!</v>
      </c>
      <c r="B126" s="8" t="s">
        <v>160</v>
      </c>
      <c r="C126" s="9" t="s">
        <v>19</v>
      </c>
      <c r="D126" s="8" t="s">
        <v>165</v>
      </c>
      <c r="E126" s="19" t="s">
        <v>21</v>
      </c>
      <c r="F126" s="11">
        <v>0</v>
      </c>
      <c r="G126" s="13" t="s">
        <v>16</v>
      </c>
      <c r="H126" s="13" t="s">
        <v>17</v>
      </c>
      <c r="I126" s="21">
        <v>46198</v>
      </c>
      <c r="J126" s="9"/>
    </row>
    <row r="127" spans="1:10" x14ac:dyDescent="0.25">
      <c r="A127" s="7" t="e">
        <f t="shared" si="1"/>
        <v>#REF!</v>
      </c>
      <c r="B127" s="16" t="s">
        <v>160</v>
      </c>
      <c r="C127" s="17" t="s">
        <v>19</v>
      </c>
      <c r="D127" s="16" t="s">
        <v>166</v>
      </c>
      <c r="E127" s="14" t="s">
        <v>21</v>
      </c>
      <c r="F127" s="11">
        <v>0</v>
      </c>
      <c r="G127" s="18" t="s">
        <v>16</v>
      </c>
      <c r="H127" s="13" t="s">
        <v>17</v>
      </c>
      <c r="I127" s="21">
        <v>46198</v>
      </c>
      <c r="J127" s="17"/>
    </row>
    <row r="128" spans="1:10" x14ac:dyDescent="0.25">
      <c r="A128" s="7" t="e">
        <f t="shared" si="1"/>
        <v>#REF!</v>
      </c>
      <c r="B128" s="8" t="s">
        <v>160</v>
      </c>
      <c r="C128" s="9" t="s">
        <v>13</v>
      </c>
      <c r="D128" s="8" t="s">
        <v>154</v>
      </c>
      <c r="E128" s="19" t="s">
        <v>21</v>
      </c>
      <c r="F128" s="11">
        <v>0</v>
      </c>
      <c r="G128" s="18" t="s">
        <v>16</v>
      </c>
      <c r="H128" s="13" t="s">
        <v>17</v>
      </c>
      <c r="I128" s="21">
        <v>46198</v>
      </c>
      <c r="J128" s="9"/>
    </row>
    <row r="129" spans="1:10" x14ac:dyDescent="0.25">
      <c r="A129" s="7" t="e">
        <f t="shared" si="1"/>
        <v>#REF!</v>
      </c>
      <c r="B129" s="16" t="s">
        <v>160</v>
      </c>
      <c r="C129" s="17" t="s">
        <v>19</v>
      </c>
      <c r="D129" s="16" t="s">
        <v>167</v>
      </c>
      <c r="E129" s="19" t="s">
        <v>15</v>
      </c>
      <c r="F129" s="11">
        <v>0</v>
      </c>
      <c r="G129" s="18" t="s">
        <v>16</v>
      </c>
      <c r="H129" s="13" t="s">
        <v>17</v>
      </c>
      <c r="I129" s="21">
        <v>46198</v>
      </c>
      <c r="J129" s="17"/>
    </row>
    <row r="130" spans="1:10" x14ac:dyDescent="0.25">
      <c r="A130" s="7" t="e">
        <f t="shared" si="1"/>
        <v>#REF!</v>
      </c>
      <c r="B130" s="8" t="s">
        <v>91</v>
      </c>
      <c r="C130" s="17" t="s">
        <v>19</v>
      </c>
      <c r="D130" s="16" t="s">
        <v>164</v>
      </c>
      <c r="E130" s="20" t="s">
        <v>15</v>
      </c>
      <c r="F130" s="11">
        <v>0.5</v>
      </c>
      <c r="G130" s="15" t="s">
        <v>22</v>
      </c>
      <c r="H130" s="13" t="s">
        <v>36</v>
      </c>
      <c r="I130" s="21">
        <v>46198</v>
      </c>
      <c r="J130" s="17"/>
    </row>
    <row r="131" spans="1:10" x14ac:dyDescent="0.25">
      <c r="A131" s="7" t="e">
        <f t="shared" si="1"/>
        <v>#REF!</v>
      </c>
      <c r="B131" s="8" t="s">
        <v>91</v>
      </c>
      <c r="C131" s="17" t="s">
        <v>13</v>
      </c>
      <c r="D131" s="16" t="s">
        <v>154</v>
      </c>
      <c r="E131" s="19" t="s">
        <v>15</v>
      </c>
      <c r="F131" s="11">
        <v>0</v>
      </c>
      <c r="G131" s="18" t="s">
        <v>16</v>
      </c>
      <c r="H131" s="13" t="s">
        <v>17</v>
      </c>
      <c r="I131" s="21">
        <v>46198</v>
      </c>
      <c r="J131" s="17"/>
    </row>
    <row r="132" spans="1:10" x14ac:dyDescent="0.25">
      <c r="A132" s="7" t="e">
        <f t="shared" ref="A132:A169" si="2">A131+1</f>
        <v>#REF!</v>
      </c>
      <c r="B132" s="8" t="s">
        <v>91</v>
      </c>
      <c r="C132" s="9" t="s">
        <v>19</v>
      </c>
      <c r="D132" s="8" t="s">
        <v>167</v>
      </c>
      <c r="E132" s="25" t="s">
        <v>15</v>
      </c>
      <c r="F132" s="11">
        <v>0</v>
      </c>
      <c r="G132" s="18" t="s">
        <v>16</v>
      </c>
      <c r="H132" s="13" t="s">
        <v>17</v>
      </c>
      <c r="I132" s="21">
        <v>46198</v>
      </c>
      <c r="J132" s="9"/>
    </row>
    <row r="133" spans="1:10" x14ac:dyDescent="0.25">
      <c r="A133" s="7" t="e">
        <f t="shared" si="2"/>
        <v>#REF!</v>
      </c>
      <c r="B133" s="8" t="s">
        <v>91</v>
      </c>
      <c r="C133" s="17" t="s">
        <v>19</v>
      </c>
      <c r="D133" s="16" t="s">
        <v>168</v>
      </c>
      <c r="E133" s="19" t="s">
        <v>15</v>
      </c>
      <c r="F133" s="11">
        <v>0</v>
      </c>
      <c r="G133" s="18" t="s">
        <v>16</v>
      </c>
      <c r="H133" s="13" t="s">
        <v>17</v>
      </c>
      <c r="I133" s="21">
        <v>46198</v>
      </c>
      <c r="J133" s="17"/>
    </row>
    <row r="134" spans="1:10" x14ac:dyDescent="0.25">
      <c r="A134" s="7" t="e">
        <f t="shared" si="2"/>
        <v>#REF!</v>
      </c>
      <c r="B134" s="8" t="s">
        <v>91</v>
      </c>
      <c r="C134" s="9" t="s">
        <v>53</v>
      </c>
      <c r="D134" s="8" t="s">
        <v>169</v>
      </c>
      <c r="E134" s="19" t="s">
        <v>15</v>
      </c>
      <c r="F134" s="11">
        <v>0</v>
      </c>
      <c r="G134" s="18" t="s">
        <v>16</v>
      </c>
      <c r="H134" s="13" t="s">
        <v>17</v>
      </c>
      <c r="I134" s="21">
        <v>46198</v>
      </c>
      <c r="J134" s="9"/>
    </row>
    <row r="135" spans="1:10" x14ac:dyDescent="0.25">
      <c r="A135" s="7" t="e">
        <f t="shared" si="2"/>
        <v>#REF!</v>
      </c>
      <c r="B135" s="8" t="s">
        <v>91</v>
      </c>
      <c r="C135" s="17" t="s">
        <v>13</v>
      </c>
      <c r="D135" s="16" t="s">
        <v>170</v>
      </c>
      <c r="E135" s="19" t="s">
        <v>15</v>
      </c>
      <c r="F135" s="11">
        <v>0.5</v>
      </c>
      <c r="G135" s="23" t="s">
        <v>22</v>
      </c>
      <c r="H135" s="13" t="s">
        <v>17</v>
      </c>
      <c r="I135" s="21">
        <v>46198</v>
      </c>
      <c r="J135" s="17"/>
    </row>
    <row r="136" spans="1:10" x14ac:dyDescent="0.25">
      <c r="A136" s="7" t="e">
        <f t="shared" si="2"/>
        <v>#REF!</v>
      </c>
      <c r="B136" s="8" t="s">
        <v>91</v>
      </c>
      <c r="C136" s="17" t="s">
        <v>19</v>
      </c>
      <c r="D136" s="16" t="s">
        <v>163</v>
      </c>
      <c r="E136" s="14" t="s">
        <v>15</v>
      </c>
      <c r="F136" s="11">
        <v>0.8</v>
      </c>
      <c r="G136" s="23" t="s">
        <v>22</v>
      </c>
      <c r="H136" s="24" t="s">
        <v>36</v>
      </c>
      <c r="I136" s="21">
        <v>46198</v>
      </c>
      <c r="J136" s="17"/>
    </row>
    <row r="137" spans="1:10" x14ac:dyDescent="0.25">
      <c r="A137" s="7" t="e">
        <f t="shared" si="2"/>
        <v>#REF!</v>
      </c>
      <c r="B137" s="8" t="s">
        <v>91</v>
      </c>
      <c r="C137" s="9" t="s">
        <v>19</v>
      </c>
      <c r="D137" s="8" t="s">
        <v>162</v>
      </c>
      <c r="E137" s="14" t="s">
        <v>15</v>
      </c>
      <c r="F137" s="11">
        <v>0.8</v>
      </c>
      <c r="G137" s="23" t="s">
        <v>22</v>
      </c>
      <c r="H137" s="13" t="s">
        <v>17</v>
      </c>
      <c r="I137" s="21">
        <v>46198</v>
      </c>
      <c r="J137" s="9"/>
    </row>
    <row r="138" spans="1:10" x14ac:dyDescent="0.25">
      <c r="A138" s="7" t="e">
        <f t="shared" si="2"/>
        <v>#REF!</v>
      </c>
      <c r="B138" s="8" t="s">
        <v>91</v>
      </c>
      <c r="C138" s="17" t="s">
        <v>19</v>
      </c>
      <c r="D138" s="16" t="s">
        <v>38</v>
      </c>
      <c r="E138" s="19" t="s">
        <v>15</v>
      </c>
      <c r="F138" s="11">
        <v>0.8</v>
      </c>
      <c r="G138" s="23" t="s">
        <v>22</v>
      </c>
      <c r="H138" s="13" t="s">
        <v>17</v>
      </c>
      <c r="I138" s="21">
        <v>46198</v>
      </c>
      <c r="J138" s="17"/>
    </row>
    <row r="139" spans="1:10" x14ac:dyDescent="0.25">
      <c r="A139" s="7" t="e">
        <f>A136+1</f>
        <v>#REF!</v>
      </c>
      <c r="B139" s="8" t="s">
        <v>160</v>
      </c>
      <c r="C139" s="9" t="s">
        <v>13</v>
      </c>
      <c r="D139" s="8" t="s">
        <v>171</v>
      </c>
      <c r="E139" s="14" t="s">
        <v>15</v>
      </c>
      <c r="F139" s="11">
        <v>0.15</v>
      </c>
      <c r="G139" s="13" t="s">
        <v>22</v>
      </c>
      <c r="H139" s="13" t="s">
        <v>17</v>
      </c>
      <c r="I139" s="21">
        <v>46198</v>
      </c>
      <c r="J139" s="9"/>
    </row>
    <row r="140" spans="1:10" x14ac:dyDescent="0.25">
      <c r="A140" s="7" t="e">
        <f>A137+1</f>
        <v>#REF!</v>
      </c>
      <c r="B140" s="8" t="s">
        <v>91</v>
      </c>
      <c r="C140" s="9" t="s">
        <v>13</v>
      </c>
      <c r="D140" s="8" t="s">
        <v>171</v>
      </c>
      <c r="E140" s="14" t="s">
        <v>15</v>
      </c>
      <c r="F140" s="11">
        <v>0.15</v>
      </c>
      <c r="G140" s="13" t="s">
        <v>22</v>
      </c>
      <c r="H140" s="13" t="s">
        <v>17</v>
      </c>
      <c r="I140" s="21">
        <v>46198</v>
      </c>
      <c r="J140" s="9"/>
    </row>
    <row r="141" spans="1:10" x14ac:dyDescent="0.25">
      <c r="A141" s="7" t="e">
        <f>A138+1</f>
        <v>#REF!</v>
      </c>
      <c r="B141" s="8" t="s">
        <v>93</v>
      </c>
      <c r="C141" s="9" t="s">
        <v>13</v>
      </c>
      <c r="D141" s="8" t="s">
        <v>171</v>
      </c>
      <c r="E141" s="14" t="s">
        <v>15</v>
      </c>
      <c r="F141" s="11">
        <v>0.15</v>
      </c>
      <c r="G141" s="13" t="s">
        <v>22</v>
      </c>
      <c r="H141" s="13" t="s">
        <v>17</v>
      </c>
      <c r="I141" s="21">
        <v>46198</v>
      </c>
      <c r="J141" s="9"/>
    </row>
    <row r="142" spans="1:10" x14ac:dyDescent="0.25">
      <c r="A142" s="7" t="e">
        <f t="shared" si="2"/>
        <v>#REF!</v>
      </c>
      <c r="B142" s="16" t="s">
        <v>93</v>
      </c>
      <c r="C142" s="17" t="s">
        <v>19</v>
      </c>
      <c r="D142" s="16" t="s">
        <v>172</v>
      </c>
      <c r="E142" s="14" t="s">
        <v>15</v>
      </c>
      <c r="F142" s="11">
        <v>0.5</v>
      </c>
      <c r="G142" s="31" t="s">
        <v>22</v>
      </c>
      <c r="H142" s="13" t="s">
        <v>36</v>
      </c>
      <c r="I142" s="21">
        <v>46198</v>
      </c>
      <c r="J142" s="17"/>
    </row>
    <row r="143" spans="1:10" x14ac:dyDescent="0.25">
      <c r="A143" s="7" t="e">
        <f t="shared" si="2"/>
        <v>#REF!</v>
      </c>
      <c r="B143" s="8" t="s">
        <v>93</v>
      </c>
      <c r="C143" s="9" t="s">
        <v>19</v>
      </c>
      <c r="D143" s="8" t="s">
        <v>173</v>
      </c>
      <c r="E143" s="14" t="s">
        <v>15</v>
      </c>
      <c r="F143" s="11">
        <v>0.5</v>
      </c>
      <c r="G143" s="31" t="s">
        <v>22</v>
      </c>
      <c r="H143" s="13" t="s">
        <v>36</v>
      </c>
      <c r="I143" s="21">
        <v>46198</v>
      </c>
      <c r="J143" s="9"/>
    </row>
    <row r="144" spans="1:10" x14ac:dyDescent="0.25">
      <c r="A144" s="7" t="e">
        <f t="shared" si="2"/>
        <v>#REF!</v>
      </c>
      <c r="B144" s="16" t="s">
        <v>93</v>
      </c>
      <c r="C144" s="17" t="s">
        <v>19</v>
      </c>
      <c r="D144" s="16" t="s">
        <v>174</v>
      </c>
      <c r="E144" s="14" t="s">
        <v>15</v>
      </c>
      <c r="F144" s="11">
        <v>0.5</v>
      </c>
      <c r="G144" s="26" t="s">
        <v>22</v>
      </c>
      <c r="H144" s="13" t="s">
        <v>36</v>
      </c>
      <c r="I144" s="21">
        <v>46198</v>
      </c>
      <c r="J144" s="17"/>
    </row>
    <row r="145" spans="1:10" x14ac:dyDescent="0.25">
      <c r="A145" s="7" t="e">
        <f t="shared" si="2"/>
        <v>#REF!</v>
      </c>
      <c r="B145" s="16" t="s">
        <v>93</v>
      </c>
      <c r="C145" s="17" t="s">
        <v>19</v>
      </c>
      <c r="D145" s="16" t="s">
        <v>175</v>
      </c>
      <c r="E145" s="14" t="s">
        <v>15</v>
      </c>
      <c r="F145" s="11">
        <v>0.5</v>
      </c>
      <c r="G145" s="23" t="s">
        <v>22</v>
      </c>
      <c r="H145" s="13" t="s">
        <v>36</v>
      </c>
      <c r="I145" s="21">
        <v>46198</v>
      </c>
      <c r="J145" s="17"/>
    </row>
    <row r="146" spans="1:10" ht="25.5" hidden="1" x14ac:dyDescent="0.25">
      <c r="A146" s="7" t="e">
        <f t="shared" si="2"/>
        <v>#REF!</v>
      </c>
      <c r="B146" s="8" t="s">
        <v>176</v>
      </c>
      <c r="C146" s="9" t="s">
        <v>13</v>
      </c>
      <c r="D146" s="8" t="s">
        <v>177</v>
      </c>
      <c r="E146" s="20" t="s">
        <v>21</v>
      </c>
      <c r="F146" s="11">
        <v>0</v>
      </c>
      <c r="G146" s="18" t="s">
        <v>116</v>
      </c>
      <c r="H146" s="13" t="s">
        <v>17</v>
      </c>
      <c r="I146" s="9" t="s">
        <v>178</v>
      </c>
      <c r="J146" s="9"/>
    </row>
    <row r="147" spans="1:10" hidden="1" x14ac:dyDescent="0.25">
      <c r="A147" s="7" t="e">
        <f t="shared" si="2"/>
        <v>#REF!</v>
      </c>
      <c r="B147" s="16" t="s">
        <v>176</v>
      </c>
      <c r="C147" s="17" t="s">
        <v>53</v>
      </c>
      <c r="D147" s="16" t="s">
        <v>179</v>
      </c>
      <c r="E147" s="20" t="s">
        <v>21</v>
      </c>
      <c r="F147" s="11">
        <v>1</v>
      </c>
      <c r="G147" s="18" t="s">
        <v>29</v>
      </c>
      <c r="H147" s="13" t="s">
        <v>17</v>
      </c>
      <c r="I147" s="17" t="s">
        <v>180</v>
      </c>
      <c r="J147" s="17"/>
    </row>
    <row r="148" spans="1:10" hidden="1" x14ac:dyDescent="0.25">
      <c r="A148" s="7" t="e">
        <f t="shared" si="2"/>
        <v>#REF!</v>
      </c>
      <c r="B148" s="8" t="s">
        <v>176</v>
      </c>
      <c r="C148" s="17" t="s">
        <v>19</v>
      </c>
      <c r="D148" s="16" t="s">
        <v>181</v>
      </c>
      <c r="E148" s="20" t="s">
        <v>15</v>
      </c>
      <c r="F148" s="11">
        <v>0</v>
      </c>
      <c r="G148" s="18" t="s">
        <v>16</v>
      </c>
      <c r="H148" s="13" t="s">
        <v>17</v>
      </c>
      <c r="I148" s="17"/>
      <c r="J148" s="17"/>
    </row>
    <row r="149" spans="1:10" hidden="1" x14ac:dyDescent="0.25">
      <c r="A149" s="7" t="e">
        <f t="shared" si="2"/>
        <v>#REF!</v>
      </c>
      <c r="B149" s="16" t="s">
        <v>176</v>
      </c>
      <c r="C149" s="17" t="s">
        <v>13</v>
      </c>
      <c r="D149" s="16" t="s">
        <v>182</v>
      </c>
      <c r="E149" s="20" t="s">
        <v>15</v>
      </c>
      <c r="F149" s="11">
        <v>1</v>
      </c>
      <c r="G149" s="18" t="s">
        <v>29</v>
      </c>
      <c r="H149" s="13" t="s">
        <v>17</v>
      </c>
      <c r="I149" s="17"/>
      <c r="J149" s="17"/>
    </row>
    <row r="150" spans="1:10" hidden="1" x14ac:dyDescent="0.25">
      <c r="A150" s="7" t="e">
        <f t="shared" si="2"/>
        <v>#REF!</v>
      </c>
      <c r="B150" s="8" t="s">
        <v>176</v>
      </c>
      <c r="C150" s="9" t="s">
        <v>19</v>
      </c>
      <c r="D150" s="8" t="s">
        <v>183</v>
      </c>
      <c r="E150" s="20" t="s">
        <v>15</v>
      </c>
      <c r="F150" s="11">
        <v>0.5</v>
      </c>
      <c r="G150" s="23" t="s">
        <v>22</v>
      </c>
      <c r="H150" s="13" t="s">
        <v>17</v>
      </c>
      <c r="I150" s="9"/>
      <c r="J150" s="9"/>
    </row>
    <row r="151" spans="1:10" x14ac:dyDescent="0.25">
      <c r="A151" s="7" t="e">
        <f t="shared" si="2"/>
        <v>#REF!</v>
      </c>
      <c r="B151" s="8" t="s">
        <v>93</v>
      </c>
      <c r="C151" s="9" t="s">
        <v>13</v>
      </c>
      <c r="D151" s="8" t="s">
        <v>184</v>
      </c>
      <c r="E151" s="14" t="s">
        <v>15</v>
      </c>
      <c r="F151" s="11">
        <v>0</v>
      </c>
      <c r="G151" s="26" t="s">
        <v>16</v>
      </c>
      <c r="H151" s="13" t="s">
        <v>17</v>
      </c>
      <c r="I151" s="21">
        <v>46198</v>
      </c>
      <c r="J151" s="9"/>
    </row>
    <row r="152" spans="1:10" x14ac:dyDescent="0.25">
      <c r="A152" s="7" t="e">
        <f t="shared" si="2"/>
        <v>#REF!</v>
      </c>
      <c r="B152" s="16" t="s">
        <v>93</v>
      </c>
      <c r="C152" s="17" t="s">
        <v>19</v>
      </c>
      <c r="D152" s="16" t="s">
        <v>185</v>
      </c>
      <c r="E152" s="14" t="s">
        <v>15</v>
      </c>
      <c r="F152" s="11">
        <v>0</v>
      </c>
      <c r="G152" s="13" t="s">
        <v>16</v>
      </c>
      <c r="H152" s="24" t="s">
        <v>36</v>
      </c>
      <c r="I152" s="21">
        <v>46198</v>
      </c>
      <c r="J152" s="17"/>
    </row>
    <row r="153" spans="1:10" x14ac:dyDescent="0.25">
      <c r="A153" s="7" t="e">
        <f t="shared" si="2"/>
        <v>#REF!</v>
      </c>
      <c r="B153" s="8" t="s">
        <v>93</v>
      </c>
      <c r="C153" s="9" t="s">
        <v>13</v>
      </c>
      <c r="D153" s="8" t="s">
        <v>154</v>
      </c>
      <c r="E153" s="14" t="s">
        <v>15</v>
      </c>
      <c r="F153" s="11">
        <v>0</v>
      </c>
      <c r="G153" s="13" t="s">
        <v>16</v>
      </c>
      <c r="H153" s="13" t="s">
        <v>17</v>
      </c>
      <c r="I153" s="21">
        <v>46198</v>
      </c>
      <c r="J153" s="9"/>
    </row>
    <row r="154" spans="1:10" x14ac:dyDescent="0.25">
      <c r="A154" s="7" t="e">
        <f t="shared" si="2"/>
        <v>#REF!</v>
      </c>
      <c r="B154" s="16" t="s">
        <v>93</v>
      </c>
      <c r="C154" s="17" t="s">
        <v>19</v>
      </c>
      <c r="D154" s="16" t="s">
        <v>186</v>
      </c>
      <c r="E154" s="14" t="s">
        <v>15</v>
      </c>
      <c r="F154" s="11">
        <v>0</v>
      </c>
      <c r="G154" s="13" t="s">
        <v>16</v>
      </c>
      <c r="H154" s="13" t="s">
        <v>17</v>
      </c>
      <c r="I154" s="21">
        <v>46198</v>
      </c>
      <c r="J154" s="17"/>
    </row>
    <row r="155" spans="1:10" x14ac:dyDescent="0.25">
      <c r="A155" s="7" t="e">
        <f t="shared" si="2"/>
        <v>#REF!</v>
      </c>
      <c r="B155" s="8" t="s">
        <v>93</v>
      </c>
      <c r="C155" s="9" t="s">
        <v>53</v>
      </c>
      <c r="D155" s="8" t="s">
        <v>187</v>
      </c>
      <c r="E155" s="14" t="s">
        <v>15</v>
      </c>
      <c r="F155" s="11">
        <v>0</v>
      </c>
      <c r="G155" s="13" t="s">
        <v>16</v>
      </c>
      <c r="H155" s="13" t="s">
        <v>17</v>
      </c>
      <c r="I155" s="21">
        <v>46198</v>
      </c>
      <c r="J155" s="9"/>
    </row>
    <row r="156" spans="1:10" x14ac:dyDescent="0.25">
      <c r="A156" s="7" t="e">
        <f t="shared" si="2"/>
        <v>#REF!</v>
      </c>
      <c r="B156" s="16" t="s">
        <v>40</v>
      </c>
      <c r="C156" s="17" t="s">
        <v>19</v>
      </c>
      <c r="D156" s="16" t="s">
        <v>188</v>
      </c>
      <c r="E156" s="20" t="s">
        <v>15</v>
      </c>
      <c r="F156" s="11">
        <v>0.2</v>
      </c>
      <c r="G156" s="15" t="s">
        <v>22</v>
      </c>
      <c r="H156" s="13" t="s">
        <v>17</v>
      </c>
      <c r="I156" s="21">
        <v>46203</v>
      </c>
      <c r="J156" s="17"/>
    </row>
    <row r="157" spans="1:10" x14ac:dyDescent="0.25">
      <c r="A157" s="7" t="e">
        <f t="shared" si="2"/>
        <v>#REF!</v>
      </c>
      <c r="B157" s="8" t="s">
        <v>40</v>
      </c>
      <c r="C157" s="9" t="s">
        <v>19</v>
      </c>
      <c r="D157" s="8" t="s">
        <v>189</v>
      </c>
      <c r="E157" s="19" t="s">
        <v>15</v>
      </c>
      <c r="F157" s="11">
        <v>0</v>
      </c>
      <c r="G157" s="15" t="s">
        <v>16</v>
      </c>
      <c r="H157" s="13" t="s">
        <v>17</v>
      </c>
      <c r="I157" s="21">
        <v>46203</v>
      </c>
      <c r="J157" s="9"/>
    </row>
    <row r="158" spans="1:10" x14ac:dyDescent="0.25">
      <c r="A158" s="7" t="e">
        <f t="shared" si="2"/>
        <v>#REF!</v>
      </c>
      <c r="B158" s="16" t="s">
        <v>40</v>
      </c>
      <c r="C158" s="17" t="s">
        <v>19</v>
      </c>
      <c r="D158" s="16" t="s">
        <v>190</v>
      </c>
      <c r="E158" s="19" t="s">
        <v>15</v>
      </c>
      <c r="F158" s="11">
        <v>0</v>
      </c>
      <c r="G158" s="18" t="s">
        <v>16</v>
      </c>
      <c r="H158" s="13" t="s">
        <v>17</v>
      </c>
      <c r="I158" s="21">
        <v>46203</v>
      </c>
      <c r="J158" s="17"/>
    </row>
    <row r="159" spans="1:10" ht="25.5" x14ac:dyDescent="0.25">
      <c r="A159" s="7" t="e">
        <f t="shared" si="2"/>
        <v>#REF!</v>
      </c>
      <c r="B159" s="16" t="s">
        <v>40</v>
      </c>
      <c r="C159" s="17" t="s">
        <v>13</v>
      </c>
      <c r="D159" s="16" t="s">
        <v>191</v>
      </c>
      <c r="E159" s="19" t="s">
        <v>15</v>
      </c>
      <c r="F159" s="11">
        <v>0</v>
      </c>
      <c r="G159" s="15" t="s">
        <v>16</v>
      </c>
      <c r="H159" s="13" t="s">
        <v>17</v>
      </c>
      <c r="I159" s="21">
        <v>46203</v>
      </c>
      <c r="J159" s="17"/>
    </row>
    <row r="160" spans="1:10" x14ac:dyDescent="0.25">
      <c r="A160" s="7" t="e">
        <f t="shared" si="2"/>
        <v>#REF!</v>
      </c>
      <c r="B160" s="8" t="s">
        <v>40</v>
      </c>
      <c r="C160" s="9" t="s">
        <v>19</v>
      </c>
      <c r="D160" s="8" t="s">
        <v>192</v>
      </c>
      <c r="E160" s="19" t="s">
        <v>15</v>
      </c>
      <c r="F160" s="11">
        <v>0</v>
      </c>
      <c r="G160" s="15" t="s">
        <v>16</v>
      </c>
      <c r="H160" s="13" t="s">
        <v>17</v>
      </c>
      <c r="I160" s="21">
        <v>46203</v>
      </c>
      <c r="J160" s="9"/>
    </row>
    <row r="161" spans="1:10" ht="25.5" x14ac:dyDescent="0.25">
      <c r="A161" s="7" t="e">
        <f t="shared" si="2"/>
        <v>#REF!</v>
      </c>
      <c r="B161" s="16" t="s">
        <v>40</v>
      </c>
      <c r="C161" s="17" t="s">
        <v>19</v>
      </c>
      <c r="D161" s="16" t="s">
        <v>193</v>
      </c>
      <c r="E161" s="19" t="s">
        <v>15</v>
      </c>
      <c r="F161" s="11">
        <v>0</v>
      </c>
      <c r="G161" s="15" t="s">
        <v>16</v>
      </c>
      <c r="H161" s="13" t="s">
        <v>17</v>
      </c>
      <c r="I161" s="21">
        <v>46203</v>
      </c>
      <c r="J161" s="17"/>
    </row>
    <row r="162" spans="1:10" x14ac:dyDescent="0.25">
      <c r="A162" s="7" t="e">
        <f t="shared" si="2"/>
        <v>#REF!</v>
      </c>
      <c r="B162" s="8" t="s">
        <v>40</v>
      </c>
      <c r="C162" s="9" t="s">
        <v>19</v>
      </c>
      <c r="D162" s="8" t="s">
        <v>194</v>
      </c>
      <c r="E162" s="19" t="s">
        <v>15</v>
      </c>
      <c r="F162" s="11">
        <v>0</v>
      </c>
      <c r="G162" s="18" t="s">
        <v>16</v>
      </c>
      <c r="H162" s="13" t="s">
        <v>17</v>
      </c>
      <c r="I162" s="21">
        <v>46203</v>
      </c>
      <c r="J162" s="9"/>
    </row>
    <row r="163" spans="1:10" x14ac:dyDescent="0.25">
      <c r="A163" s="7" t="e">
        <f t="shared" si="2"/>
        <v>#REF!</v>
      </c>
      <c r="B163" s="8" t="s">
        <v>40</v>
      </c>
      <c r="C163" s="9" t="s">
        <v>19</v>
      </c>
      <c r="D163" s="8" t="s">
        <v>195</v>
      </c>
      <c r="E163" s="19" t="s">
        <v>15</v>
      </c>
      <c r="F163" s="11">
        <v>0</v>
      </c>
      <c r="G163" s="26" t="s">
        <v>16</v>
      </c>
      <c r="H163" s="13" t="s">
        <v>17</v>
      </c>
      <c r="I163" s="21">
        <v>46203</v>
      </c>
      <c r="J163" s="9"/>
    </row>
    <row r="164" spans="1:10" x14ac:dyDescent="0.25">
      <c r="A164" s="7" t="e">
        <f t="shared" si="2"/>
        <v>#REF!</v>
      </c>
      <c r="B164" s="8" t="s">
        <v>40</v>
      </c>
      <c r="C164" s="9" t="s">
        <v>19</v>
      </c>
      <c r="D164" s="8" t="s">
        <v>196</v>
      </c>
      <c r="E164" s="19" t="s">
        <v>15</v>
      </c>
      <c r="F164" s="11">
        <v>0.5</v>
      </c>
      <c r="G164" s="15" t="s">
        <v>22</v>
      </c>
      <c r="H164" s="13" t="s">
        <v>36</v>
      </c>
      <c r="I164" s="21">
        <v>46203</v>
      </c>
      <c r="J164" s="9"/>
    </row>
    <row r="165" spans="1:10" x14ac:dyDescent="0.25">
      <c r="A165" s="7" t="e">
        <f t="shared" si="2"/>
        <v>#REF!</v>
      </c>
      <c r="B165" s="16" t="s">
        <v>40</v>
      </c>
      <c r="C165" s="17" t="s">
        <v>19</v>
      </c>
      <c r="D165" s="16" t="s">
        <v>197</v>
      </c>
      <c r="E165" s="19" t="s">
        <v>15</v>
      </c>
      <c r="F165" s="11">
        <v>0.5</v>
      </c>
      <c r="G165" s="13" t="s">
        <v>22</v>
      </c>
      <c r="H165" s="24" t="s">
        <v>36</v>
      </c>
      <c r="I165" s="21">
        <v>46203</v>
      </c>
      <c r="J165" s="17"/>
    </row>
    <row r="166" spans="1:10" x14ac:dyDescent="0.25">
      <c r="A166" s="7" t="e">
        <f t="shared" si="2"/>
        <v>#REF!</v>
      </c>
      <c r="B166" s="16" t="s">
        <v>40</v>
      </c>
      <c r="C166" s="17" t="s">
        <v>13</v>
      </c>
      <c r="D166" s="16" t="s">
        <v>198</v>
      </c>
      <c r="E166" s="19" t="s">
        <v>15</v>
      </c>
      <c r="F166" s="11">
        <v>0</v>
      </c>
      <c r="G166" s="23" t="s">
        <v>116</v>
      </c>
      <c r="H166" s="24" t="s">
        <v>36</v>
      </c>
      <c r="I166" s="21">
        <v>46203</v>
      </c>
      <c r="J166" s="17"/>
    </row>
    <row r="167" spans="1:10" x14ac:dyDescent="0.25">
      <c r="A167" s="7" t="e">
        <f t="shared" si="2"/>
        <v>#REF!</v>
      </c>
      <c r="B167" s="8" t="s">
        <v>40</v>
      </c>
      <c r="C167" s="9" t="s">
        <v>19</v>
      </c>
      <c r="D167" s="8" t="s">
        <v>199</v>
      </c>
      <c r="E167" s="19" t="s">
        <v>15</v>
      </c>
      <c r="F167" s="11">
        <v>0.5</v>
      </c>
      <c r="G167" s="18" t="s">
        <v>29</v>
      </c>
      <c r="H167" s="13" t="s">
        <v>17</v>
      </c>
      <c r="I167" s="21">
        <v>46203</v>
      </c>
      <c r="J167" s="9"/>
    </row>
    <row r="168" spans="1:10" x14ac:dyDescent="0.25">
      <c r="A168" s="7" t="e">
        <f t="shared" si="2"/>
        <v>#REF!</v>
      </c>
      <c r="B168" s="16" t="s">
        <v>40</v>
      </c>
      <c r="C168" s="17" t="s">
        <v>19</v>
      </c>
      <c r="D168" s="16" t="s">
        <v>200</v>
      </c>
      <c r="E168" s="19" t="s">
        <v>15</v>
      </c>
      <c r="F168" s="11">
        <v>0.5</v>
      </c>
      <c r="G168" s="18" t="s">
        <v>29</v>
      </c>
      <c r="H168" s="13" t="s">
        <v>17</v>
      </c>
      <c r="I168" s="21">
        <v>46203</v>
      </c>
      <c r="J168" s="17"/>
    </row>
    <row r="169" spans="1:10" ht="25.5" x14ac:dyDescent="0.25">
      <c r="A169" s="7" t="e">
        <f t="shared" si="2"/>
        <v>#REF!</v>
      </c>
      <c r="B169" s="32" t="s">
        <v>40</v>
      </c>
      <c r="C169" s="33" t="s">
        <v>19</v>
      </c>
      <c r="D169" s="32" t="s">
        <v>201</v>
      </c>
      <c r="E169" s="34" t="s">
        <v>15</v>
      </c>
      <c r="F169" s="11">
        <v>0</v>
      </c>
      <c r="G169" s="13" t="s">
        <v>16</v>
      </c>
      <c r="H169" s="13" t="s">
        <v>36</v>
      </c>
      <c r="I169" s="21">
        <v>46203</v>
      </c>
      <c r="J169" s="35"/>
    </row>
    <row r="170" spans="1:10" hidden="1" x14ac:dyDescent="0.25">
      <c r="F170" t="s">
        <v>202</v>
      </c>
      <c r="I170" s="21"/>
    </row>
    <row r="171" spans="1:10" hidden="1" x14ac:dyDescent="0.25">
      <c r="B171" s="37" t="s">
        <v>203</v>
      </c>
    </row>
  </sheetData>
  <autoFilter ref="A2:J171" xr:uid="{00000000-0009-0000-0000-000001000000}">
    <filterColumn colId="1">
      <filters>
        <filter val="Base Coat"/>
        <filter val="Lacquer"/>
        <filter val="Lacquer oven"/>
        <filter val="Over Varnish"/>
        <filter val="Press"/>
        <filter val="Printing"/>
        <filter val="Trimming"/>
        <filter val="Washing"/>
      </filters>
    </filterColumn>
  </autoFilter>
  <mergeCells count="1">
    <mergeCell ref="A1:I1"/>
  </mergeCells>
  <conditionalFormatting sqref="E3:E207">
    <cfRule type="expression" dxfId="7" priority="7">
      <formula>$E3="High"</formula>
    </cfRule>
    <cfRule type="expression" dxfId="6" priority="8">
      <formula>$E3="Medium"</formula>
    </cfRule>
    <cfRule type="expression" dxfId="5" priority="9">
      <formula>$E3="Low"</formula>
    </cfRule>
  </conditionalFormatting>
  <conditionalFormatting sqref="F3">
    <cfRule type="dataBar" priority="16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{4A99EAEB-496B-49DB-B04F-F64AE77EA7A7}</x14:id>
        </ext>
      </extLst>
    </cfRule>
  </conditionalFormatting>
  <conditionalFormatting sqref="F4:F27 F31:F138 F141:F169">
    <cfRule type="dataBar" priority="22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{F4BE828B-0D18-49AE-A903-EAB0151F9309}</x14:id>
        </ext>
      </extLst>
    </cfRule>
  </conditionalFormatting>
  <conditionalFormatting sqref="F13">
    <cfRule type="dataBar" priority="21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{3502CE5F-867C-460B-8813-4FCCCDF7084E}</x14:id>
        </ext>
      </extLst>
    </cfRule>
  </conditionalFormatting>
  <conditionalFormatting sqref="F28">
    <cfRule type="dataBar" priority="15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{94873344-2D96-415F-BDCF-788D3432DA72}</x14:id>
        </ext>
      </extLst>
    </cfRule>
  </conditionalFormatting>
  <conditionalFormatting sqref="F29">
    <cfRule type="dataBar" priority="14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{DFE28E4B-CF36-4E6B-8A50-4AFA95C8A4AF}</x14:id>
        </ext>
      </extLst>
    </cfRule>
  </conditionalFormatting>
  <conditionalFormatting sqref="F30">
    <cfRule type="dataBar" priority="13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{96834DF4-B79D-4F6F-A307-EDC0FE56A70F}</x14:id>
        </ext>
      </extLst>
    </cfRule>
  </conditionalFormatting>
  <conditionalFormatting sqref="F111">
    <cfRule type="dataBar" priority="20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{D0CCF41A-BB16-4356-801B-A83AEB8F8CCC}</x14:id>
        </ext>
      </extLst>
    </cfRule>
  </conditionalFormatting>
  <conditionalFormatting sqref="F112">
    <cfRule type="dataBar" priority="19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{7D27176E-4295-4EC1-BD48-60155405DA4C}</x14:id>
        </ext>
      </extLst>
    </cfRule>
  </conditionalFormatting>
  <conditionalFormatting sqref="F127">
    <cfRule type="dataBar" priority="18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{82A92D4A-DA64-48B8-A053-FE1C59FCFCDE}</x14:id>
        </ext>
      </extLst>
    </cfRule>
  </conditionalFormatting>
  <conditionalFormatting sqref="F128:F138 F141:F154">
    <cfRule type="dataBar" priority="17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{CD865578-65C4-4151-A03C-B610128C1A6B}</x14:id>
        </ext>
      </extLst>
    </cfRule>
  </conditionalFormatting>
  <conditionalFormatting sqref="F139">
    <cfRule type="dataBar" priority="1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{05B09FEB-C82B-408A-B662-A81E62CF1514}</x14:id>
        </ext>
      </extLst>
    </cfRule>
    <cfRule type="dataBar" priority="10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{CA2306D2-848E-4005-9C88-C16272503686}</x14:id>
        </ext>
      </extLst>
    </cfRule>
  </conditionalFormatting>
  <conditionalFormatting sqref="F140">
    <cfRule type="dataBar" priority="11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{ED55ED0A-B9A7-4D4D-81D3-5664F0F8EE50}</x14:id>
        </ext>
      </extLst>
    </cfRule>
    <cfRule type="dataBar" priority="12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{A5CEB881-D0E8-4FE2-85E1-6B021DCA6019}</x14:id>
        </ext>
      </extLst>
    </cfRule>
  </conditionalFormatting>
  <conditionalFormatting sqref="G3:H207">
    <cfRule type="expression" dxfId="4" priority="2">
      <formula>$G3="Completed"</formula>
    </cfRule>
    <cfRule type="expression" dxfId="3" priority="3">
      <formula>$G3="In Progress"</formula>
    </cfRule>
    <cfRule type="expression" dxfId="2" priority="4">
      <formula>$G3="Not Started"</formula>
    </cfRule>
    <cfRule type="expression" dxfId="1" priority="5">
      <formula>$G3="Blocked"</formula>
    </cfRule>
    <cfRule type="expression" dxfId="0" priority="6">
      <formula>$G3="Pending Procurement"</formula>
    </cfRule>
  </conditionalFormatting>
  <dataValidations count="4">
    <dataValidation type="list" allowBlank="1" sqref="G3:G207" xr:uid="{250E3BDC-9010-4E74-8249-B06A851E52F3}">
      <formula1>"Not Started,In Progress,Completed,Blocked,Pending Procurement"</formula1>
      <formula2>0</formula2>
    </dataValidation>
    <dataValidation type="list" allowBlank="1" sqref="E3:E207" xr:uid="{3F9EE87D-1DEA-4D43-82AC-3935241BAE2A}">
      <formula1>"High,Medium,Low"</formula1>
      <formula2>0</formula2>
    </dataValidation>
    <dataValidation type="list" allowBlank="1" sqref="C3:C207" xr:uid="{D8CCC16E-1C6F-43F8-86C6-DF8301C4D872}">
      <formula1>"Electrical,Mechanical"</formula1>
      <formula2>0</formula2>
    </dataValidation>
    <dataValidation type="list" allowBlank="1" sqref="B3:B207" xr:uid="{94B04F39-7AA7-48D9-BD8C-F14FEE23F2CB}">
      <formula1>"Press,Trimming,Washing,Lacquer,Base Coat,Printing,Over Varnish,Main Oven,Necking,Mixer,General"</formula1>
      <formula2>0</formula2>
    </dataValidation>
  </dataValidations>
  <hyperlinks>
    <hyperlink ref="J1" r:id="rId1" location="DASHBOARD!B1" xr:uid="{BD169069-6B1C-48FC-B54A-4384CC7A42F7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99EAEB-496B-49DB-B04F-F64AE77EA7A7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F3</xm:sqref>
        </x14:conditionalFormatting>
        <x14:conditionalFormatting xmlns:xm="http://schemas.microsoft.com/office/excel/2006/main">
          <x14:cfRule type="dataBar" id="{F4BE828B-0D18-49AE-A903-EAB0151F9309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F4:F27 F31:F138 F141:F169</xm:sqref>
        </x14:conditionalFormatting>
        <x14:conditionalFormatting xmlns:xm="http://schemas.microsoft.com/office/excel/2006/main">
          <x14:cfRule type="dataBar" id="{3502CE5F-867C-460B-8813-4FCCCDF7084E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F13</xm:sqref>
        </x14:conditionalFormatting>
        <x14:conditionalFormatting xmlns:xm="http://schemas.microsoft.com/office/excel/2006/main">
          <x14:cfRule type="dataBar" id="{94873344-2D96-415F-BDCF-788D3432DA72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F28</xm:sqref>
        </x14:conditionalFormatting>
        <x14:conditionalFormatting xmlns:xm="http://schemas.microsoft.com/office/excel/2006/main">
          <x14:cfRule type="dataBar" id="{DFE28E4B-CF36-4E6B-8A50-4AFA95C8A4AF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F29</xm:sqref>
        </x14:conditionalFormatting>
        <x14:conditionalFormatting xmlns:xm="http://schemas.microsoft.com/office/excel/2006/main">
          <x14:cfRule type="dataBar" id="{96834DF4-B79D-4F6F-A307-EDC0FE56A70F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F30</xm:sqref>
        </x14:conditionalFormatting>
        <x14:conditionalFormatting xmlns:xm="http://schemas.microsoft.com/office/excel/2006/main">
          <x14:cfRule type="dataBar" id="{D0CCF41A-BB16-4356-801B-A83AEB8F8CCC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F111</xm:sqref>
        </x14:conditionalFormatting>
        <x14:conditionalFormatting xmlns:xm="http://schemas.microsoft.com/office/excel/2006/main">
          <x14:cfRule type="dataBar" id="{7D27176E-4295-4EC1-BD48-60155405DA4C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F112</xm:sqref>
        </x14:conditionalFormatting>
        <x14:conditionalFormatting xmlns:xm="http://schemas.microsoft.com/office/excel/2006/main">
          <x14:cfRule type="dataBar" id="{82A92D4A-DA64-48B8-A053-FE1C59FCFCDE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F127</xm:sqref>
        </x14:conditionalFormatting>
        <x14:conditionalFormatting xmlns:xm="http://schemas.microsoft.com/office/excel/2006/main">
          <x14:cfRule type="dataBar" id="{CD865578-65C4-4151-A03C-B610128C1A6B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F128:F138 F141:F154</xm:sqref>
        </x14:conditionalFormatting>
        <x14:conditionalFormatting xmlns:xm="http://schemas.microsoft.com/office/excel/2006/main">
          <x14:cfRule type="dataBar" id="{05B09FEB-C82B-408A-B662-A81E62CF1514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14:cfRule type="dataBar" id="{CA2306D2-848E-4005-9C88-C16272503686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F139</xm:sqref>
        </x14:conditionalFormatting>
        <x14:conditionalFormatting xmlns:xm="http://schemas.microsoft.com/office/excel/2006/main">
          <x14:cfRule type="dataBar" id="{ED55ED0A-B9A7-4D4D-81D3-5664F0F8EE50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14:cfRule type="dataBar" id="{A5CEB881-D0E8-4FE2-85E1-6B021DCA6019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F140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Sikander Shahjahan</dc:creator>
  <cp:lastModifiedBy>Sikander Shahjahan</cp:lastModifiedBy>
  <dcterms:created xsi:type="dcterms:W3CDTF">2026-06-12T07:20:17Z</dcterms:created>
  <dcterms:modified xsi:type="dcterms:W3CDTF">2026-06-12T07:20:38Z</dcterms:modified>
</cp:coreProperties>
</file>