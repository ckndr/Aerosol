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 activeTab="1"/>
  </bookViews>
  <sheets>
    <sheet sheetId="1" name="DASHBOARD" state="visible" r:id="rId4"/>
    <sheet sheetId="2" name="TRACKER" state="visible" r:id="rId5"/>
    <sheet sheetId="3" name="HOW TO UPDATE" state="hidden" r:id="rId6"/>
  </sheets>
  <definedNames>
    <definedName name="_xlnm._FilterDatabase">TRACKER!$A$2:$J$170</definedName>
  </definedNames>
  <calcPr calcId="171027"/>
</workbook>
</file>

<file path=xl/sharedStrings.xml><?xml version="1.0" encoding="utf-8"?>
<sst xmlns="http://schemas.openxmlformats.org/spreadsheetml/2006/main" count="1404" uniqueCount="258">
  <si>
    <t>AEROSOL PLANT  ·  Installation &amp; Commissioning Tracker</t>
  </si>
  <si>
    <t>Last Updated</t>
  </si>
  <si>
    <t>Overall %</t>
  </si>
  <si>
    <t>Total Tasks</t>
  </si>
  <si>
    <t>Completed</t>
  </si>
  <si>
    <t>In Progress</t>
  </si>
  <si>
    <t>Not Started</t>
  </si>
  <si>
    <t>Hold</t>
  </si>
  <si>
    <t>Pending Procurement</t>
  </si>
  <si>
    <t>MACHINE SECTIONS</t>
  </si>
  <si>
    <t>Machine</t>
  </si>
  <si>
    <t>Elec. Pending</t>
  </si>
  <si>
    <t>Mech. Pending</t>
  </si>
  <si>
    <t>Other Pending</t>
  </si>
  <si>
    <t>Total Pending</t>
  </si>
  <si>
    <t>PENDING BY PRIORITY</t>
  </si>
  <si>
    <t>High Priority</t>
  </si>
  <si>
    <t>Medium Priority</t>
  </si>
  <si>
    <t>Low Priority</t>
  </si>
  <si>
    <t>STATUS REFERENCE</t>
  </si>
  <si>
    <t>Blocked</t>
  </si>
  <si>
    <t>AEROSOL PLANT  ·  INSTALLATION TRACKER</t>
  </si>
  <si>
    <t>← Dashboard</t>
  </si>
  <si>
    <t>#</t>
  </si>
  <si>
    <t>Category</t>
  </si>
  <si>
    <t>Task Description</t>
  </si>
  <si>
    <t>Priority</t>
  </si>
  <si>
    <t>Progress</t>
  </si>
  <si>
    <t>Status</t>
  </si>
  <si>
    <t>Responsible</t>
  </si>
  <si>
    <t>Deadline</t>
  </si>
  <si>
    <t>Remarks</t>
  </si>
  <si>
    <t>Accumulator</t>
  </si>
  <si>
    <t>Electrical</t>
  </si>
  <si>
    <t>Dry run</t>
  </si>
  <si>
    <t>High</t>
  </si>
  <si>
    <t>Arsalan</t>
  </si>
  <si>
    <t/>
  </si>
  <si>
    <t>on machine testing</t>
  </si>
  <si>
    <t>Mechanical</t>
  </si>
  <si>
    <t>chain &amp; bearing greasing</t>
  </si>
  <si>
    <t>Medium</t>
  </si>
  <si>
    <t>Tension Cylinders to check and replace</t>
  </si>
  <si>
    <t>Auto Strapping Machine</t>
  </si>
  <si>
    <t>to place and install at designated location</t>
  </si>
  <si>
    <t>Low</t>
  </si>
  <si>
    <t>wiring and connections to be done</t>
  </si>
  <si>
    <t>Base Coat</t>
  </si>
  <si>
    <t>Fumes collector piping to install</t>
  </si>
  <si>
    <t>Saqib</t>
  </si>
  <si>
    <t>Rollers Housing — cleaned and greased</t>
  </si>
  <si>
    <t>Mandrels — cleaned</t>
  </si>
  <si>
    <t>Frame Body — cleaned</t>
  </si>
  <si>
    <t>Spare Rubberize rollers</t>
  </si>
  <si>
    <t>Air regulator pneumatic fitting to check and rectify and fixation</t>
  </si>
  <si>
    <t>driving gear chain box enclosure at back</t>
  </si>
  <si>
    <t>closure of all cable trays/ panels</t>
  </si>
  <si>
    <t>Rawal bolts anchoring to be done on the foundation</t>
  </si>
  <si>
    <t>PLC installation &amp; termination</t>
  </si>
  <si>
    <t>Compressor</t>
  </si>
  <si>
    <t>Compressor  dryer and auto drain electrical connection</t>
  </si>
  <si>
    <t>Compressor piping — dryer and auto drain system</t>
  </si>
  <si>
    <t>main pipe to be elevated downward for smooth drainage</t>
  </si>
  <si>
    <t>individual section pipes/ branches to be supported/fixed/welded</t>
  </si>
  <si>
    <t>dryer wiring and connection to be done.</t>
  </si>
  <si>
    <t>Decoration Oven</t>
  </si>
  <si>
    <t>Heaters to be checked and replaced if required</t>
  </si>
  <si>
    <t>sample needed for ordering</t>
  </si>
  <si>
    <t>Blower motor connection and testing</t>
  </si>
  <si>
    <t>temperature gauges to be checked &amp; installed</t>
  </si>
  <si>
    <t>Oven Dry run</t>
  </si>
  <si>
    <t>Cleaning in progress &amp; Heater testing in progress</t>
  </si>
  <si>
    <t>Motors alignment w.r.t marking</t>
  </si>
  <si>
    <t>Khalid Shb observations</t>
  </si>
  <si>
    <t>FG Conveyor</t>
  </si>
  <si>
    <t>Realignment of conveyor to be done as per Lindsay recommendation</t>
  </si>
  <si>
    <t>connection/wiring to be done</t>
  </si>
  <si>
    <t>General</t>
  </si>
  <si>
    <t>Machine Operating Manuals</t>
  </si>
  <si>
    <t>Overall machine paint</t>
  </si>
  <si>
    <t>Modify exhaust duct pipes — prevent rainwater entry bends installation</t>
  </si>
  <si>
    <t>Test each machine individually without load</t>
  </si>
  <si>
    <t>Ensure proper cleaning of entire machine</t>
  </si>
  <si>
    <t>Scoop required for slug handling</t>
  </si>
  <si>
    <t>Baling machine procurement</t>
  </si>
  <si>
    <t>scrap collector container to be made/procured for trimming</t>
  </si>
  <si>
    <t>White LED lighting for printing and oven area</t>
  </si>
  <si>
    <t>Make stands for all spare rolls</t>
  </si>
  <si>
    <t>Full operator toolset &amp; tool trolley system</t>
  </si>
  <si>
    <t>Lab equipment to be sourced</t>
  </si>
  <si>
    <t>Dust bins for office areas</t>
  </si>
  <si>
    <t>Big cartons for temporary storage of cans</t>
  </si>
  <si>
    <t>Transformer load increase to 625 kW — utility application</t>
  </si>
  <si>
    <t>Application in process</t>
  </si>
  <si>
    <t>Ensure all exhaust fans on floor are operational</t>
  </si>
  <si>
    <t>partially operational</t>
  </si>
  <si>
    <t>Operator's Platform</t>
  </si>
  <si>
    <t>new to be ordered</t>
  </si>
  <si>
    <t>Lacquer</t>
  </si>
  <si>
    <t>All heaters — check, fix or replace faulty</t>
  </si>
  <si>
    <t>Blower main motor connection and testing</t>
  </si>
  <si>
    <t>Spray Guns — cleaned with thinner</t>
  </si>
  <si>
    <t>Spray Mount Drum — scraped &amp; cleaned</t>
  </si>
  <si>
    <t>Mandrel Plate — scraped &amp; cleaned</t>
  </si>
  <si>
    <t>Exhaust Sieve — cleaned</t>
  </si>
  <si>
    <t>Oven Chain cleaning</t>
  </si>
  <si>
    <t>Internal Lacquering Dry run</t>
  </si>
  <si>
    <t>lacquer Storage vessel installation with pneumatic fittings</t>
  </si>
  <si>
    <t>fixing  can holders after cleaning</t>
  </si>
  <si>
    <t>Cans Holders — dismantled, clean with thinner</t>
  </si>
  <si>
    <t>Cans In-feed conveyor chain rods to procure and install</t>
  </si>
  <si>
    <t>Cans Grippers to be procured/fabricated</t>
  </si>
  <si>
    <t>Spray guns spray timings to be set</t>
  </si>
  <si>
    <t>Cans In-feed conveyor Inspection &amp; testing</t>
  </si>
  <si>
    <t>Lacquer Oven</t>
  </si>
  <si>
    <t>Oven Chain &amp; bearing greasing</t>
  </si>
  <si>
    <t>closure of electrical panels</t>
  </si>
  <si>
    <t>Oven back metallic cover sheet to place</t>
  </si>
  <si>
    <t>Manual Strapping Machine</t>
  </si>
  <si>
    <t>Necking</t>
  </si>
  <si>
    <t>Infeed tray installation from feeding unit to necking machine</t>
  </si>
  <si>
    <t>PVC ejection pipe installation from necking for cans discharge</t>
  </si>
  <si>
    <t>scrap collection tank to install from necking</t>
  </si>
  <si>
    <t>Conveyor installation after ejection pipe</t>
  </si>
  <si>
    <t>Necking machine Dry run</t>
  </si>
  <si>
    <t>Electrical troubleshooting and testing</t>
  </si>
  <si>
    <t>Cans Grippers / Holders — cleaning</t>
  </si>
  <si>
    <t>Buffing and polishing on necking machine tools</t>
  </si>
  <si>
    <t>Cans Grippers / Holders — deep cleaning (after dismantling)</t>
  </si>
  <si>
    <t>Two sets of press dies, springs &amp; nut bolts required</t>
  </si>
  <si>
    <t>Kluber oil &amp; grease for necking machine</t>
  </si>
  <si>
    <t>Necking machine — electrical supply troubleshooting for dry run</t>
  </si>
  <si>
    <t>Interlocking will be redesigned and checked</t>
  </si>
  <si>
    <t>Over Varnish</t>
  </si>
  <si>
    <t>Rollers — dismantled, to be chrome plated</t>
  </si>
  <si>
    <t>varnish pump placement and installation with piping</t>
  </si>
  <si>
    <t>Printing Oven Dry run</t>
  </si>
  <si>
    <t>Motors checking and troubleshooting</t>
  </si>
  <si>
    <t>Overall Machine Operation</t>
  </si>
  <si>
    <t>Main Power Cable Termination &amp; Execution Plan</t>
  </si>
  <si>
    <t>Main Power Cable procurement</t>
  </si>
  <si>
    <t>Electrical panels for power distribution</t>
  </si>
  <si>
    <t>Verify electrical panels, wiring &amp; interlocks — Press to Washing</t>
  </si>
  <si>
    <t>Till Washing Machine electrical Work is completed</t>
  </si>
  <si>
    <t>Testing of Control Logics &amp; Circuits</t>
  </si>
  <si>
    <t>Verify electrical panels, wiring &amp; interlocks — Washing to Necking</t>
  </si>
  <si>
    <t>Press</t>
  </si>
  <si>
    <t>Press &amp; Trimming compressor temporary line fixed</t>
  </si>
  <si>
    <t>Close all electrical panels and cable trays</t>
  </si>
  <si>
    <t>Damping rubber pads over slug feeding tray</t>
  </si>
  <si>
    <t>Gear Oil Lubrication pumping system setup</t>
  </si>
  <si>
    <t>Slug Feeding Hopper sheet to be fixed</t>
  </si>
  <si>
    <t>Tools for press machine</t>
  </si>
  <si>
    <t>Dust Collection blower installation</t>
  </si>
  <si>
    <t>SOV pneumatic press clutch service</t>
  </si>
  <si>
    <t>Hopper motor installation and testing</t>
  </si>
  <si>
    <t>Cable trays installation</t>
  </si>
  <si>
    <t>Press Clutch NRV repaired</t>
  </si>
  <si>
    <t>Press timing and alignment with testing</t>
  </si>
  <si>
    <t>Die &amp; punch stroke setting</t>
  </si>
  <si>
    <t>Slug tray on/off switch to be installed</t>
  </si>
  <si>
    <t>Dust Collection blower piping</t>
  </si>
  <si>
    <t>Welding &amp; fixing gear oil tank brackets and sheet</t>
  </si>
  <si>
    <t>Fixing the lubrication tray properly with a slope for drainage</t>
  </si>
  <si>
    <t>Place and install the Oil collection tank directly under the tray</t>
  </si>
  <si>
    <t>Installation of Level sensor and Filter on the oil tank</t>
  </si>
  <si>
    <t>SOV coil pneumatic press clutch</t>
  </si>
  <si>
    <t>Lubrication oil leakages to be rectified</t>
  </si>
  <si>
    <t>Tripping issue to be rectified</t>
  </si>
  <si>
    <t>compartment over feeder to fabricate</t>
  </si>
  <si>
    <t>saqib</t>
  </si>
  <si>
    <t>Blower installation complete with piping and connections</t>
  </si>
  <si>
    <t>Printing</t>
  </si>
  <si>
    <t>Printing machine rollers — deep clean, rubber &amp; chrome inspection</t>
  </si>
  <si>
    <t>solenoid coil for hydroulic</t>
  </si>
  <si>
    <t>All printing rollers — dismantle, clean, buff, chrome plate</t>
  </si>
  <si>
    <t>CTC cleaning of machine panels interface</t>
  </si>
  <si>
    <t>Bearings — cleaning &amp; greasing</t>
  </si>
  <si>
    <t>Ink Fountain — cleaning</t>
  </si>
  <si>
    <t>Roller Train Frame — cleaning</t>
  </si>
  <si>
    <t>Dismantle all rollers for inspection &amp; Cleaning</t>
  </si>
  <si>
    <t>Servo motor troubleshooting</t>
  </si>
  <si>
    <t>Aluminum oil tank — fabricate &amp; install</t>
  </si>
  <si>
    <t>Rawlbolts anchoring to be done on the foundation</t>
  </si>
  <si>
    <t>Printing Machine Dry run</t>
  </si>
  <si>
    <t>Main frame displacement to be fixed</t>
  </si>
  <si>
    <t>Trimming</t>
  </si>
  <si>
    <t>Installation of piping of Trimming Of blower</t>
  </si>
  <si>
    <t>Conveyor alignment — Trimming to Washing</t>
  </si>
  <si>
    <t>Trimming Scrap collector wiring and troubleshooting</t>
  </si>
  <si>
    <t>Electrical Panel checked / Tested</t>
  </si>
  <si>
    <t>Startup main motor</t>
  </si>
  <si>
    <t>Pneumatic and Electrical operation check</t>
  </si>
  <si>
    <t>Trimming startup</t>
  </si>
  <si>
    <t>Conveyor — Press to Trimming input</t>
  </si>
  <si>
    <t>Trimming machine dry run</t>
  </si>
  <si>
    <t>closure of chain/gears/pneumatic assembly with box</t>
  </si>
  <si>
    <t>pneumatic pressure valve for ejector pressure to install</t>
  </si>
  <si>
    <t>Installation of trimming blower</t>
  </si>
  <si>
    <t>Fixing of Manual Oil Lubrication System</t>
  </si>
  <si>
    <t>Addition of closed cabinet for trim collection on machine side</t>
  </si>
  <si>
    <t>Oiling / greasing / parts replacement / testing</t>
  </si>
  <si>
    <t>Tumbler</t>
  </si>
  <si>
    <t>Mixer installation and automation — auto feeding flow design</t>
  </si>
  <si>
    <t>quotation awaiting for conveyor from Arsalan &amp; Lindsay</t>
  </si>
  <si>
    <t>Slug Mixing Unit Dry run</t>
  </si>
  <si>
    <t>Working on its auto feeding system</t>
  </si>
  <si>
    <t>Tumbler/Mixer wiring and connections to be done</t>
  </si>
  <si>
    <t>Main motor testing</t>
  </si>
  <si>
    <t>Tumbler/Mixer installation on platform</t>
  </si>
  <si>
    <t>Washing</t>
  </si>
  <si>
    <t>chain installation</t>
  </si>
  <si>
    <t>Heat exchanger for washing system — procure &amp; install</t>
  </si>
  <si>
    <t>Inspect all rubber pipes — replace if damaged</t>
  </si>
  <si>
    <t>Washing unit tanks — sizes and quantities for quotation</t>
  </si>
  <si>
    <t>Heaters to be checked and procured if required</t>
  </si>
  <si>
    <t>Washing machine piping and blower installation</t>
  </si>
  <si>
    <t>Washing unit drain flexible pipes after tank installation</t>
  </si>
  <si>
    <t>Washing Machine Dry run</t>
  </si>
  <si>
    <t>Electrical Operating control panel to be relocated from trimming to washing</t>
  </si>
  <si>
    <t>pressure gauge to install on rinse recycle loop pipes</t>
  </si>
  <si>
    <t>contamination/ fumes collector to be checked and installed on top</t>
  </si>
  <si>
    <t>to install Pvc &amp; wire brush on washing chain at top</t>
  </si>
  <si>
    <t>Spray and Drying section's windows to be installed</t>
  </si>
  <si>
    <t>Rinsing Recycling Tank — recoating &amp; cleaning</t>
  </si>
  <si>
    <t>Spraying Jets Section — cleaning / scraping</t>
  </si>
  <si>
    <t>Heaters to be Replaced</t>
  </si>
  <si>
    <t>All gears greasing</t>
  </si>
  <si>
    <t>Gears alignment</t>
  </si>
  <si>
    <t>Separate storage tanks installation(detergent / cold / hot water)</t>
  </si>
  <si>
    <t>main motor bearing change</t>
  </si>
  <si>
    <t>fumes motor winding to be done</t>
  </si>
  <si>
    <t>holders pin to be checked and repalced</t>
  </si>
  <si>
    <t>oven heater to be checked</t>
  </si>
  <si>
    <t>HOW TO UPDATE — QUICK GUIDE</t>
  </si>
  <si>
    <t>COLUMN / STEP</t>
  </si>
  <si>
    <t>INSTRUCTION</t>
  </si>
  <si>
    <t>COLUMN</t>
  </si>
  <si>
    <t>WHAT TO DO</t>
  </si>
  <si>
    <t>Click the cell — a dropdown appears. Pick the machine name.</t>
  </si>
  <si>
    <t>Pick Electrical or Mechanical from the dropdown.</t>
  </si>
  <si>
    <t>Type the task clearly and briefly.</t>
  </si>
  <si>
    <t>High = urgent / blocking.  Medium = important.  Low = when possible.</t>
  </si>
  <si>
    <t>Type a number: 0 = not started,  50 = halfway done,  100 = complete.</t>
  </si>
  <si>
    <t>Pick from dropdown: Not Started / In Progress / Completed / Blocked / Pending Procurement.</t>
  </si>
  <si>
    <t>Short notes — vendor, reason for delay, Khalid sb instruction, etc.</t>
  </si>
  <si>
    <t>Updated</t>
  </si>
  <si>
    <t>Type today's date when you update any row.</t>
  </si>
  <si>
    <t>Add a new task</t>
  </si>
  <si>
    <t>Scroll to the bottom. Type in the next empty row. All dropdowns work there too.</t>
  </si>
  <si>
    <t>Filter by machine</t>
  </si>
  <si>
    <t>Click the filter arrow (▼) on the Machine column. Tick only the machine you want.</t>
  </si>
  <si>
    <t>Hide completed</t>
  </si>
  <si>
    <t>Click the filter arrow on Status. Untick Completed. Click OK.</t>
  </si>
  <si>
    <t>Dashboard links</t>
  </si>
  <si>
    <t>On the Dashboard, click any machine name (underlined blue) to jump straight to it.</t>
  </si>
  <si>
    <t>Back to Dashboard</t>
  </si>
  <si>
    <t>In the Tracker, click '← Dashboard' in the top-right corner of the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</si>
</sst>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-mmm-yyyy"/>
    <numFmt numFmtId="165" formatCode="0.0%"/>
    <numFmt numFmtId="166" formatCode="DD/MM/YYYY"/>
  </numFmts>
  <fonts count="28" x14ac:knownFonts="1">
    <font>
      <color theme="1"/>
      <family val="2"/>
      <scheme val="minor"/>
      <sz val="11"/>
      <name val="Calibri"/>
    </font>
    <font>
      <charset val="1"/>
      <color theme="1"/>
      <family val="2"/>
      <sz val="10"/>
      <name val="Calibri"/>
    </font>
    <font>
      <b/>
      <charset val="1"/>
      <color rgb="FF0F172A"/>
      <family val="2"/>
      <sz val="18"/>
      <name val="Calibri"/>
    </font>
    <font>
      <b/>
      <charset val="1"/>
      <color rgb="FF475569"/>
      <family val="2"/>
      <sz val="10"/>
      <name val="Calibri"/>
    </font>
    <font>
      <charset val="1"/>
      <color rgb="FF475569"/>
      <family val="2"/>
      <sz val="10"/>
      <name val="Calibri"/>
    </font>
    <font>
      <b/>
      <charset val="1"/>
      <color rgb="FF1D4ED8"/>
      <family val="2"/>
      <sz val="10"/>
      <name val="Calibri"/>
    </font>
    <font>
      <b/>
      <charset val="1"/>
      <color rgb="FF1E293B"/>
      <family val="2"/>
      <sz val="10"/>
      <name val="Calibri"/>
    </font>
    <font>
      <b/>
      <charset val="1"/>
      <color rgb="FF15803D"/>
      <family val="2"/>
      <sz val="10"/>
      <name val="Calibri"/>
    </font>
    <font>
      <b/>
      <charset val="1"/>
      <color rgb="FFB45309"/>
      <family val="2"/>
      <sz val="10"/>
      <name val="Calibri"/>
    </font>
    <font>
      <b/>
      <charset val="1"/>
      <color rgb="FFB91C1C"/>
      <family val="2"/>
      <sz val="10"/>
      <name val="Calibri"/>
    </font>
    <font>
      <b/>
      <charset val="1"/>
      <color rgb="FF6D28D9"/>
      <family val="2"/>
      <sz val="10"/>
      <name val="Calibri"/>
    </font>
    <font>
      <b/>
      <u/>
      <charset val="1"/>
      <color rgb="FF0563C1"/>
      <family val="2"/>
      <sz val="10"/>
      <name val="Calibri"/>
    </font>
    <font>
      <charset val="1"/>
      <color rgb="FFB45309"/>
      <family val="2"/>
      <sz val="10"/>
      <name val="Calibri"/>
    </font>
    <font>
      <charset val="1"/>
      <color rgb="FFB91C1C"/>
      <family val="2"/>
      <sz val="10"/>
      <name val="Calibri"/>
    </font>
    <font>
      <charset val="1"/>
      <color rgb="FF15803D"/>
      <family val="2"/>
      <sz val="10"/>
      <name val="Calibri"/>
    </font>
    <font>
      <b/>
      <color rgb="FF0563C1"/>
      <family val="2"/>
      <sz val="10"/>
      <name val="Calibri"/>
    </font>
    <font>
      <charset val="1"/>
      <color theme="1"/>
      <family val="2"/>
      <sz val="11"/>
      <name val="Calibri"/>
    </font>
    <font>
      <b/>
      <color rgb="FFFFFFFF"/>
      <family val="2"/>
      <sz val="13"/>
      <name val="Arial"/>
    </font>
    <font>
      <b/>
      <color rgb="FFFFFFFF"/>
      <family val="2"/>
      <sz val="10"/>
      <name val="Arial"/>
    </font>
    <font>
      <color rgb="FF757575"/>
      <family val="2"/>
      <sz val="10"/>
      <name val="Arial"/>
    </font>
    <font>
      <color rgb="FF212121"/>
      <family val="2"/>
      <sz val="10"/>
      <name val="Arial"/>
    </font>
    <font>
      <charset val="1"/>
      <color rgb="FF212121"/>
      <family val="2"/>
      <sz val="10"/>
      <name val="Arial"/>
    </font>
    <font>
      <b/>
      <charset val="1"/>
      <color rgb="FF2E7D32"/>
      <family val="2"/>
      <sz val="10"/>
      <name val="Arial"/>
    </font>
    <font>
      <b/>
      <color rgb="FFF57F17"/>
      <family val="2"/>
      <sz val="10"/>
      <name val="Arial"/>
    </font>
    <font>
      <b/>
      <color rgb="FFFFFFFF"/>
      <family val="2"/>
      <sz val="12"/>
      <name val="Calibri"/>
    </font>
    <font>
      <b/>
      <color rgb="FFFFFFFF"/>
      <family val="2"/>
      <sz val="9"/>
      <name val="Calibri"/>
    </font>
    <font>
      <b/>
      <color rgb="FF1F4E79"/>
      <family val="2"/>
      <sz val="9"/>
      <name val="Calibri"/>
    </font>
    <font>
      <color rgb="FF374151"/>
      <family val="2"/>
      <sz val="9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1F5F9"/>
        <bgColor rgb="FFF3F4F6"/>
      </patternFill>
    </fill>
    <fill>
      <patternFill patternType="solid">
        <fgColor rgb="FFE2E8F0"/>
        <bgColor rgb="FFEBF3FB"/>
      </patternFill>
    </fill>
    <fill>
      <patternFill patternType="solid">
        <fgColor rgb="FFFFFFFF"/>
        <bgColor rgb="FFFAFAFA"/>
      </patternFill>
    </fill>
    <fill>
      <patternFill patternType="solid">
        <fgColor rgb="FFF8FAFC"/>
        <bgColor rgb="FFF9FAFB"/>
      </patternFill>
    </fill>
    <fill>
      <patternFill patternType="solid">
        <fgColor rgb="FF1F4E79"/>
        <bgColor rgb="FF2C3E50"/>
      </patternFill>
    </fill>
    <fill>
      <patternFill patternType="solid">
        <fgColor rgb="FF2C3E50"/>
        <bgColor rgb="FF374151"/>
      </patternFill>
    </fill>
    <fill>
      <patternFill patternType="solid">
        <fgColor rgb="FFEBF3FB"/>
        <bgColor rgb="FFF1F5F9"/>
      </patternFill>
    </fill>
    <fill>
      <patternFill patternType="solid">
        <fgColor rgb="FFFFCDD2"/>
        <bgColor rgb="FFFEE2E2"/>
      </patternFill>
    </fill>
    <fill>
      <patternFill patternType="solid">
        <fgColor rgb="FFE8F5E9"/>
        <bgColor rgb="FFEBF3FB"/>
      </patternFill>
    </fill>
    <fill>
      <patternFill patternType="solid">
        <fgColor rgb="FFFFF9C4"/>
        <bgColor rgb="FFFEF3C7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/>
      <right/>
      <top/>
      <bottom style="medium">
        <color rgb="FF1F4E79"/>
      </bottom>
      <diagonal/>
    </border>
    <border>
      <left/>
      <right/>
      <top/>
      <bottom style="thin">
        <color rgb="FFD0D7E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/>
    <xf numFmtId="164" fontId="4" fillId="2" borderId="5" xfId="0" applyNumberFormat="1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1" fontId="6" fillId="3" borderId="5" xfId="0" applyNumberFormat="1" applyFont="1" applyFill="1" applyBorder="1" applyAlignment="1">
      <alignment horizontal="center" vertical="center"/>
    </xf>
    <xf numFmtId="1" fontId="7" fillId="3" borderId="5" xfId="0" applyNumberFormat="1" applyFont="1" applyFill="1" applyBorder="1" applyAlignment="1">
      <alignment horizontal="center" vertical="center"/>
    </xf>
    <xf numFmtId="1" fontId="8" fillId="3" borderId="5" xfId="0" applyNumberFormat="1" applyFont="1" applyFill="1" applyBorder="1" applyAlignment="1">
      <alignment horizontal="center" vertical="center"/>
    </xf>
    <xf numFmtId="1" fontId="3" fillId="3" borderId="5" xfId="0" applyNumberFormat="1" applyFont="1" applyFill="1" applyBorder="1" applyAlignment="1">
      <alignment horizontal="center" vertical="center"/>
    </xf>
    <xf numFmtId="1" fontId="9" fillId="3" borderId="5" xfId="0" applyNumberFormat="1" applyFont="1" applyFill="1" applyBorder="1" applyAlignment="1">
      <alignment horizontal="center" vertical="center"/>
    </xf>
    <xf numFmtId="1" fontId="10" fillId="3" borderId="6" xfId="0" applyNumberFormat="1" applyFont="1" applyFill="1" applyBorder="1" applyAlignment="1">
      <alignment horizontal="center" vertical="center"/>
    </xf>
    <xf numFmtId="0" fontId="6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1" fillId="4" borderId="4" xfId="0" applyFont="1" applyFill="1" applyBorder="1" applyAlignment="1">
      <alignment vertical="center"/>
    </xf>
    <xf numFmtId="0" fontId="12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165" fontId="5" fillId="4" borderId="6" xfId="0" applyNumberFormat="1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vertical="center"/>
    </xf>
    <xf numFmtId="0" fontId="12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165" fontId="5" fillId="5" borderId="6" xfId="0" applyNumberFormat="1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vertical="center"/>
    </xf>
    <xf numFmtId="0" fontId="15" fillId="4" borderId="4" xfId="0" applyFont="1" applyFill="1" applyBorder="1" applyAlignment="1">
      <alignment vertical="center"/>
    </xf>
    <xf numFmtId="0" fontId="9" fillId="4" borderId="4" xfId="0" applyFont="1" applyFill="1" applyBorder="1"/>
    <xf numFmtId="0" fontId="1" fillId="4" borderId="5" xfId="0" applyFont="1" applyFill="1" applyBorder="1"/>
    <xf numFmtId="0" fontId="9" fillId="4" borderId="5" xfId="0" applyFont="1" applyFill="1" applyBorder="1" applyAlignment="1">
      <alignment horizontal="center" vertical="center"/>
    </xf>
    <xf numFmtId="0" fontId="1" fillId="4" borderId="6" xfId="0" applyFont="1" applyFill="1" applyBorder="1"/>
    <xf numFmtId="0" fontId="8" fillId="5" borderId="4" xfId="0" applyFont="1" applyFill="1" applyBorder="1"/>
    <xf numFmtId="0" fontId="1" fillId="5" borderId="5" xfId="0" applyFont="1" applyFill="1" applyBorder="1"/>
    <xf numFmtId="0" fontId="8" fillId="5" borderId="5" xfId="0" applyFont="1" applyFill="1" applyBorder="1" applyAlignment="1">
      <alignment horizontal="center" vertical="center"/>
    </xf>
    <xf numFmtId="0" fontId="1" fillId="5" borderId="6" xfId="0" applyFont="1" applyFill="1" applyBorder="1"/>
    <xf numFmtId="0" fontId="7" fillId="4" borderId="4" xfId="0" applyFont="1" applyFill="1" applyBorder="1"/>
    <xf numFmtId="0" fontId="7" fillId="4" borderId="5" xfId="0" applyFont="1" applyFill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6" fillId="3" borderId="0" xfId="0" applyFont="1" applyFill="1"/>
    <xf numFmtId="0" fontId="1" fillId="3" borderId="0" xfId="0" applyFont="1" applyFill="1"/>
    <xf numFmtId="0" fontId="8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6" fillId="0" borderId="0" xfId="0" applyFont="1" applyAlignment="1">
      <alignment wrapText="1"/>
    </xf>
    <xf numFmtId="0" fontId="17" fillId="6" borderId="10" xfId="0" applyFont="1" applyFill="1" applyBorder="1" applyAlignment="1">
      <alignment horizontal="center" vertical="center"/>
    </xf>
    <xf numFmtId="0" fontId="17" fillId="6" borderId="11" xfId="0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  <xf numFmtId="0" fontId="17" fillId="6" borderId="13" xfId="0" applyFont="1" applyFill="1" applyBorder="1" applyAlignment="1">
      <alignment horizontal="left" vertical="center"/>
    </xf>
    <xf numFmtId="0" fontId="18" fillId="7" borderId="14" xfId="0" applyFont="1" applyFill="1" applyBorder="1" applyAlignment="1">
      <alignment horizontal="center" vertical="center"/>
    </xf>
    <xf numFmtId="0" fontId="18" fillId="7" borderId="15" xfId="0" applyFont="1" applyFill="1" applyBorder="1" applyAlignment="1">
      <alignment horizontal="center" vertical="center" wrapText="1"/>
    </xf>
    <xf numFmtId="0" fontId="18" fillId="7" borderId="15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20" fillId="8" borderId="13" xfId="0" applyFont="1" applyFill="1" applyBorder="1" applyAlignment="1">
      <alignment horizontal="left" vertical="center" wrapText="1"/>
    </xf>
    <xf numFmtId="0" fontId="20" fillId="8" borderId="13" xfId="0" applyFont="1" applyFill="1" applyBorder="1" applyAlignment="1">
      <alignment horizontal="left" vertical="center"/>
    </xf>
    <xf numFmtId="0" fontId="21" fillId="9" borderId="13" xfId="0" applyFont="1" applyFill="1" applyBorder="1" applyAlignment="1">
      <alignment horizontal="left" vertical="center"/>
    </xf>
    <xf numFmtId="9" fontId="20" fillId="8" borderId="13" xfId="0" applyNumberFormat="1" applyFont="1" applyFill="1" applyBorder="1" applyAlignment="1">
      <alignment horizontal="center" vertical="center"/>
    </xf>
    <xf numFmtId="0" fontId="22" fillId="10" borderId="13" xfId="0" applyFont="1" applyFill="1" applyBorder="1" applyAlignment="1">
      <alignment horizontal="left" vertical="center"/>
    </xf>
    <xf numFmtId="0" fontId="23" fillId="11" borderId="13" xfId="0" applyFont="1" applyFill="1" applyBorder="1" applyAlignment="1">
      <alignment horizontal="left" vertical="center"/>
    </xf>
    <xf numFmtId="166" fontId="20" fillId="4" borderId="15" xfId="0" applyNumberFormat="1" applyFont="1" applyFill="1" applyBorder="1" applyAlignment="1">
      <alignment horizontal="left" vertical="center"/>
    </xf>
    <xf numFmtId="166" fontId="20" fillId="8" borderId="13" xfId="0" applyNumberFormat="1" applyFont="1" applyFill="1" applyBorder="1" applyAlignment="1">
      <alignment horizontal="left" vertical="center"/>
    </xf>
    <xf numFmtId="0" fontId="24" fillId="6" borderId="0" xfId="0" applyFont="1" applyFill="1" applyAlignment="1">
      <alignment horizontal="left" vertical="center" indent="2"/>
    </xf>
    <xf numFmtId="0" fontId="25" fillId="7" borderId="16" xfId="0" applyFont="1" applyFill="1" applyBorder="1" applyAlignment="1">
      <alignment horizontal="left" vertical="center" indent="1"/>
    </xf>
    <xf numFmtId="0" fontId="26" fillId="4" borderId="17" xfId="0" applyFont="1" applyFill="1" applyBorder="1" applyAlignment="1">
      <alignment horizontal="left" vertical="center" wrapText="1" indent="1"/>
    </xf>
    <xf numFmtId="0" fontId="27" fillId="4" borderId="17" xfId="0" applyFont="1" applyFill="1" applyBorder="1" applyAlignment="1">
      <alignment horizontal="left" vertical="center" wrapText="1" indent="1"/>
    </xf>
    <xf numFmtId="0" fontId="26" fillId="5" borderId="17" xfId="0" applyFont="1" applyFill="1" applyBorder="1" applyAlignment="1">
      <alignment horizontal="left" vertical="center" wrapText="1" indent="1"/>
    </xf>
    <xf numFmtId="0" fontId="27" fillId="5" borderId="17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8">
    <dxf>
      <font>
        <b/>
        <charset val="1"/>
        <color rgb="FFB91C1C"/>
        <sz val="8"/>
        <name val="Calibri"/>
      </font>
      <fill>
        <patternFill>
          <bgColor rgb="FFFEE2E2"/>
        </patternFill>
      </fill>
    </dxf>
    <dxf>
      <font>
        <b/>
        <charset val="1"/>
        <color rgb="FF92400E"/>
        <sz val="8"/>
        <name val="Calibri"/>
      </font>
      <fill>
        <patternFill>
          <bgColor rgb="FFFEF3C7"/>
        </patternFill>
      </fill>
    </dxf>
    <dxf>
      <font>
        <b/>
        <charset val="1"/>
        <color rgb="FF166534"/>
        <sz val="8"/>
        <name val="Calibri"/>
      </font>
      <fill>
        <patternFill>
          <bgColor rgb="FFDCFCE7"/>
        </patternFill>
      </fill>
    </dxf>
    <dxf>
      <font>
        <b/>
        <charset val="1"/>
        <color rgb="FF6B7280"/>
        <sz val="8"/>
        <name val="Calibri"/>
      </font>
      <fill>
        <patternFill>
          <bgColor rgb="FFF3F4F6"/>
        </patternFill>
      </fill>
    </dxf>
    <dxf>
      <font>
        <b/>
        <charset val="1"/>
        <color rgb="FFB45309"/>
        <sz val="8"/>
        <name val="Calibri"/>
      </font>
      <fill>
        <patternFill>
          <bgColor rgb="FFFFFBEB"/>
        </patternFill>
      </fill>
    </dxf>
    <dxf>
      <font>
        <b/>
        <charset val="1"/>
        <color rgb="FF374151"/>
        <sz val="8"/>
        <name val="Calibri"/>
      </font>
      <fill>
        <patternFill>
          <bgColor rgb="FFF9FAFB"/>
        </patternFill>
      </fill>
    </dxf>
    <dxf>
      <font>
        <b/>
        <charset val="1"/>
        <color rgb="FFB91C1C"/>
        <sz val="8"/>
        <name val="Calibri"/>
      </font>
      <fill>
        <patternFill>
          <bgColor rgb="FFFEF2F2"/>
        </patternFill>
      </fill>
    </dxf>
    <dxf>
      <font>
        <b/>
        <charset val="1"/>
        <color rgb="FF6D28D9"/>
        <sz val="8"/>
        <name val="Calibri"/>
      </font>
      <fill>
        <patternFill>
          <bgColor rgb="FFF5F3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" displayName="Table1" ref="A2:J168" totalsRowShown="1" headerRowCount="0">
  <autoFilter ref="A2:J16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#"/>
    <tableColumn id="2" name="Machine"/>
    <tableColumn id="3" name="Category"/>
    <tableColumn id="4" name="Task Description"/>
    <tableColumn id="5" name="Priority"/>
    <tableColumn id="6" name="Progress"/>
    <tableColumn id="7" name="Status"/>
    <tableColumn id="8" name="Responsible"/>
    <tableColumn id="9" name="Deadline"/>
    <tableColumn id="10" name="Remark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../AppData/Roaming/C:/Users/DELL/AppData/Local/Packages/5319275A.WhatsAppDesktop_cv1g1gvanyjgm/LocalState/sessions/5E142AE466020DB26E5051B9DB16D8DFEDFFE8E8/transfers/2026-21/Aerosol_Plant_Tracker_v8.xlsx" TargetMode="Externa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1"/>
  <sheetViews>
    <sheetView workbookViewId="0" zoomScale="100" zoomScaleNormal="100">
      <pane xSplit="1" ySplit="4" topLeftCell="B5" activePane="bottomRight" state="frozen"/>
      <selection pane="bottomRight" activeCell="B12" sqref="B12"/>
    </sheetView>
  </sheetViews>
  <sheetFormatPr defaultRowHeight="12.75" outlineLevelRow="0" outlineLevelCol="0" x14ac:dyDescent="0.2" defaultColWidth="8.85546875" customHeight="1"/>
  <cols>
    <col min="1" max="1" width="3" style="1" customWidth="1"/>
    <col min="2" max="2" width="26.5703125" style="1" customWidth="1"/>
    <col min="3" max="3" width="17.85546875" style="1" customWidth="1"/>
    <col min="4" max="4" width="19.85546875" style="1" customWidth="1"/>
    <col min="5" max="5" width="19.28515625" style="1" customWidth="1"/>
    <col min="6" max="6" width="18.42578125" style="1" customWidth="1"/>
    <col min="7" max="7" width="15" style="1" customWidth="1"/>
    <col min="8" max="8" width="17.7109375" style="1" customWidth="1"/>
    <col min="9" max="16384" width="8.85546875" style="1" customWidth="1"/>
  </cols>
  <sheetData>
    <row r="1" ht="36" customHeight="1" spans="2:8" x14ac:dyDescent="0.25">
      <c r="B1" s="2" t="s">
        <v>0</v>
      </c>
      <c r="C1" s="3"/>
      <c r="D1" s="3"/>
      <c r="E1" s="3"/>
      <c r="F1" s="3"/>
      <c r="G1" s="3"/>
      <c r="H1" s="4"/>
    </row>
    <row r="2" ht="18" customHeight="1" hidden="1" spans="2:8" x14ac:dyDescent="0.25">
      <c r="B2" s="5" t="s">
        <v>1</v>
      </c>
      <c r="C2" s="6">
        <f>TODAY()</f>
        <v>46192</v>
      </c>
      <c r="D2" s="7"/>
      <c r="E2" s="7"/>
      <c r="F2" s="7"/>
      <c r="G2" s="7"/>
      <c r="H2" s="8"/>
    </row>
    <row r="3" hidden="1" spans="2:8" x14ac:dyDescent="0.25">
      <c r="B3" s="9"/>
      <c r="C3" s="10"/>
      <c r="D3" s="10"/>
      <c r="E3" s="10"/>
      <c r="F3" s="10"/>
      <c r="G3" s="10"/>
      <c r="H3" s="11"/>
    </row>
    <row r="4" ht="19.5" customHeight="1" spans="2:8" x14ac:dyDescent="0.25">
      <c r="B4" s="12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4" t="s">
        <v>8</v>
      </c>
    </row>
    <row r="5" ht="39.75" customHeight="1" spans="2:8" x14ac:dyDescent="0.25">
      <c r="B5" s="15">
        <f>IF(COUNTA(TRACKER!$B$4:$B$1002)=0, 0, AVERAGEIF(TRACKER!$B$4:$B$1002,"&lt;&gt;", TRACKER!$F$4:$F$1002))</f>
        <v>0.4396969696969697</v>
      </c>
      <c r="C5" s="16">
        <f>COUNTA(TRACKER!$B$4:$B$1002)</f>
        <v>166</v>
      </c>
      <c r="D5" s="17">
        <f>COUNTIF(TRACKER!$G$4:$G$1002,"Completed")</f>
        <v>57</v>
      </c>
      <c r="E5" s="18">
        <f>COUNTIF(TRACKER!$G$4:$G$1002,"In Progress")</f>
        <v>40</v>
      </c>
      <c r="F5" s="19">
        <f>COUNTIF(TRACKER!$G$4:$G$1002,"Not Started")</f>
        <v>62</v>
      </c>
      <c r="G5" s="20">
        <f>COUNTIF(TRACKER!$G$4:$G$1002,"Blocked")</f>
        <v>0</v>
      </c>
      <c r="H5" s="21">
        <f>COUNTIF(TRACKER!$G$4:$G$1002,"Pending Procurement")</f>
        <v>6</v>
      </c>
    </row>
    <row r="6" hidden="1" spans="2:8" x14ac:dyDescent="0.25">
      <c r="B6" s="9"/>
      <c r="C6" s="10"/>
      <c r="D6" s="10"/>
      <c r="E6" s="10"/>
      <c r="F6" s="10"/>
      <c r="G6" s="10"/>
      <c r="H6" s="11"/>
    </row>
    <row r="7" ht="19.5" customHeight="1" spans="2:8" x14ac:dyDescent="0.25">
      <c r="B7" s="22" t="s">
        <v>9</v>
      </c>
      <c r="C7" s="23"/>
      <c r="D7" s="23"/>
      <c r="E7" s="23"/>
      <c r="F7" s="23"/>
      <c r="G7" s="23"/>
      <c r="H7" s="24"/>
    </row>
    <row r="8" ht="19.5" customHeight="1" spans="2:8" x14ac:dyDescent="0.25">
      <c r="B8" s="12" t="s">
        <v>10</v>
      </c>
      <c r="C8" s="13" t="s">
        <v>11</v>
      </c>
      <c r="D8" s="13" t="s">
        <v>12</v>
      </c>
      <c r="E8" s="13" t="s">
        <v>13</v>
      </c>
      <c r="F8" s="13" t="s">
        <v>14</v>
      </c>
      <c r="G8" s="13" t="s">
        <v>4</v>
      </c>
      <c r="H8" s="14" t="s">
        <v>2</v>
      </c>
    </row>
    <row r="9" ht="18" customHeight="1" spans="2:8" x14ac:dyDescent="0.25">
      <c r="B9" s="25" t="str">
        <f>HYPERLINK("#TRACKER!B" &amp; (MATCH("Tumbler", TRACKER!$B$4:$B$1002, 0) + 2), "⚙️ Tumbler")</f>
        <v>⚙️ Tumbler</v>
      </c>
      <c r="C9" s="26">
        <f>COUNTIFS(TRACKER!$B$4:$B$1002,"tumbler",TRACKER!$C$4:$C$1002,"Electrical",TRACKER!$G$4:$G$1002,"&lt;&gt;Completed")</f>
        <v>1</v>
      </c>
      <c r="D9" s="26">
        <f>COUNTIFS(TRACKER!$B$4:$B$1002,"tumbler",TRACKER!$C$4:$C$1002,"Mechanical",TRACKER!$G$4:$G$1002,"&lt;&gt;Completed")</f>
        <v>2</v>
      </c>
      <c r="E9" s="27">
        <f>COUNTIFS(TRACKER!$B$4:$B$1002,"tumbler",TRACKER!$G$4:$G$1002,"&lt;&gt;Completed")-COUNTIFS(TRACKER!$B$4:$B$1002,"tumbler",TRACKER!$C$4:$C$1002,"Electrical",TRACKER!$G$4:$G$1002,"&lt;&gt;Completed")-COUNTIFS(TRACKER!$B$4:$B$1002,"tumbler",TRACKER!$C$4:$C$1002,"Mechanical",TRACKER!$G$4:$G$1002,"&lt;&gt;Completed")</f>
        <v>0</v>
      </c>
      <c r="F9" s="28">
        <f>COUNTIFS(TRACKER!$B$4:$B$1002,"tumbler",TRACKER!$G$4:$G$1002,"&lt;&gt;Completed")</f>
        <v>3</v>
      </c>
      <c r="G9" s="29">
        <f>COUNTIFS(TRACKER!$B$4:$B$1002,"tumbler",TRACKER!$G$4:$G$1002,"Completed")</f>
        <v>2</v>
      </c>
      <c r="H9" s="30">
        <f>IFERROR(AVERAGEIF(TRACKER!$B$4:$B$1002,"tumbler",TRACKER!$F$4:$F$1002),0)</f>
        <v>0.45999999999999996</v>
      </c>
    </row>
    <row r="10" ht="18" customHeight="1" spans="2:8" x14ac:dyDescent="0.25">
      <c r="B10" s="25" t="str">
        <f>HYPERLINK("#TRACKER!B" &amp; (MATCH("Press", TRACKER!$B$4:$B$1002, 0) + 2), "⚙️ Press")</f>
        <v>⚙️ Press</v>
      </c>
      <c r="C10" s="26">
        <f>COUNTIFS(TRACKER!$B$4:$B$1002,"Press",TRACKER!$C$4:$C$1002,"Electrical",TRACKER!$G$4:$G$1002,"&lt;&gt;Completed")</f>
        <v>1</v>
      </c>
      <c r="D10" s="26">
        <f>COUNTIFS(TRACKER!$B$4:$B$1002,"Press",TRACKER!$C$4:$C$1002,"Mechanical",TRACKER!$G$4:$G$1002,"&lt;&gt;Completed")</f>
        <v>4</v>
      </c>
      <c r="E10" s="27">
        <f>COUNTIFS(TRACKER!$B$4:$B$1002,"Press",TRACKER!$G$4:$G$1002,"&lt;&gt;Completed")-COUNTIFS(TRACKER!$B$4:$B$1002,"Press",TRACKER!$C$4:$C$1002,"Electrical",TRACKER!$G$4:$G$1002,"&lt;&gt;Completed")-COUNTIFS(TRACKER!$B$4:$B$1002,"Press",TRACKER!$C$4:$C$1002,"Mechanical",TRACKER!$G$4:$G$1002,"&lt;&gt;Completed")</f>
        <v>0</v>
      </c>
      <c r="F10" s="28">
        <f>COUNTIFS(TRACKER!$B$4:$B$1002,"Press",TRACKER!$G$4:$G$1002,"&lt;&gt;Completed")</f>
        <v>5</v>
      </c>
      <c r="G10" s="29">
        <f>COUNTIFS(TRACKER!$B$4:$B$1002,"Press",TRACKER!$G$4:$G$1002,"Completed")</f>
        <v>14</v>
      </c>
      <c r="H10" s="30">
        <f>IFERROR(AVERAGEIF(TRACKER!$B$4:$B$1002,"Press",TRACKER!$F$4:$F$1002),0)</f>
        <v>0.7999999999999999</v>
      </c>
    </row>
    <row r="11" ht="18" customHeight="1" spans="2:8" x14ac:dyDescent="0.25">
      <c r="B11" s="31" t="str">
        <f>HYPERLINK("#TRACKER!B" &amp; (MATCH("Trimming", TRACKER!$B$4:$B$1002, 0) + 2), "✂️ Trimming")</f>
        <v>✂️ Trimming</v>
      </c>
      <c r="C11" s="32">
        <f>COUNTIFS(TRACKER!$B$4:$B$1002,"Trimming",TRACKER!$C$4:$C$1002,"Electrical",TRACKER!$G$4:$G$1002,"&lt;&gt;Completed")</f>
        <v>2</v>
      </c>
      <c r="D11" s="32">
        <f>COUNTIFS(TRACKER!$B$4:$B$1002,"Trimming",TRACKER!$C$4:$C$1002,"Mechanical",TRACKER!$G$4:$G$1002,"&lt;&gt;Completed")</f>
        <v>8</v>
      </c>
      <c r="E11" s="33">
        <f>COUNTIFS(TRACKER!$B$4:$B$1002,"Trimming",TRACKER!$G$4:$G$1002,"&lt;&gt;Completed")-COUNTIFS(TRACKER!$B$4:$B$1002,"Trimming",TRACKER!$C$4:$C$1002,"Electrical",TRACKER!$G$4:$G$1002,"&lt;&gt;Completed")-COUNTIFS(TRACKER!$B$4:$B$1002,"Trimming",TRACKER!$C$4:$C$1002,"Mechanical",TRACKER!$G$4:$G$1002,"&lt;&gt;Completed")</f>
        <v>0</v>
      </c>
      <c r="F11" s="34">
        <f>COUNTIFS(TRACKER!$B$4:$B$1002,"Trimming",TRACKER!$G$4:$G$1002,"&lt;&gt;Completed")</f>
        <v>10</v>
      </c>
      <c r="G11" s="35">
        <f>COUNTIFS(TRACKER!$B$4:$B$1002,"Trimming",TRACKER!$G$4:$G$1002,"Completed")</f>
        <v>7</v>
      </c>
      <c r="H11" s="36">
        <f>IFERROR(AVERAGEIF(TRACKER!$B$4:$B$1002,"Trimming",TRACKER!$F$4:$F$1002),0)</f>
        <v>0.5117647058823529</v>
      </c>
    </row>
    <row r="12" ht="18" customHeight="1" spans="2:8" x14ac:dyDescent="0.25">
      <c r="B12" s="25" t="str">
        <f>HYPERLINK("#TRACKER!B" &amp; (MATCH("Washing", TRACKER!$B$4:$B$1002, 0) + 2), "💧 Washing")</f>
        <v>💧 Washing</v>
      </c>
      <c r="C12" s="26">
        <f>COUNTIFS(TRACKER!$B$4:$B$1002,"Washing",TRACKER!$C$4:$C$1002,"Electrical",TRACKER!$G$4:$G$1002,"&lt;&gt;Completed")</f>
        <v>3</v>
      </c>
      <c r="D12" s="26">
        <f>COUNTIFS(TRACKER!$B$4:$B$1002,"Washing",TRACKER!$C$4:$C$1002,"Mechanical",TRACKER!$G$4:$G$1002,"&lt;&gt;Completed")</f>
        <v>13</v>
      </c>
      <c r="E12" s="27">
        <f>COUNTIFS(TRACKER!$B$4:$B$1002,"Washing",TRACKER!$G$4:$G$1002,"&lt;&gt;Completed")-COUNTIFS(TRACKER!$B$4:$B$1002,"Washing",TRACKER!$C$4:$C$1002,"Electrical",TRACKER!$G$4:$G$1002,"&lt;&gt;Completed")-COUNTIFS(TRACKER!$B$4:$B$1002,"Washing",TRACKER!$C$4:$C$1002,"Mechanical",TRACKER!$G$4:$G$1002,"&lt;&gt;Completed")</f>
        <v>0</v>
      </c>
      <c r="F12" s="28">
        <f>COUNTIFS(TRACKER!$B$4:$B$1002,"Washing",TRACKER!$G$4:$G$1002,"&lt;&gt;Completed")</f>
        <v>16</v>
      </c>
      <c r="G12" s="29">
        <f>COUNTIFS(TRACKER!$B$4:$B$1002,"Washing",TRACKER!$G$4:$G$1002,"Completed")</f>
        <v>3</v>
      </c>
      <c r="H12" s="30">
        <f>IFERROR(AVERAGEIF(TRACKER!$B$4:$B$1002,"Washing",TRACKER!$F$4:$F$1002),0)</f>
        <v>0.2210526315789474</v>
      </c>
    </row>
    <row r="13" ht="18" customHeight="1" spans="2:8" x14ac:dyDescent="0.25">
      <c r="B13" s="31" t="str">
        <f>HYPERLINK("#TRACKER!B" &amp; (MATCH("Lacquer", TRACKER!$B$4:$B$1002, 0) + 2), "🎨 Lacquer")</f>
        <v>🎨 Lacquer</v>
      </c>
      <c r="C13" s="32">
        <f>COUNTIFS(TRACKER!$B$4:$B$1002,"Lacquer",TRACKER!$C$4:$C$1002,"Electrical",TRACKER!$G$4:$G$1002,"&lt;&gt;Completed")</f>
        <v>0</v>
      </c>
      <c r="D13" s="32">
        <f>COUNTIFS(TRACKER!$B$4:$B$1002,"Lacquer",TRACKER!$C$4:$C$1002,"Mechanical",TRACKER!$G$4:$G$1002,"&lt;&gt;Completed")</f>
        <v>1</v>
      </c>
      <c r="E13" s="33">
        <f>COUNTIFS(TRACKER!$B$4:$B$1002,"Lacquer",TRACKER!$G$4:$G$1002,"&lt;&gt;Completed")-COUNTIFS(TRACKER!$B$4:$B$1002,"Lacquer",TRACKER!$C$4:$C$1002,"Electrical",TRACKER!$G$4:$G$1002,"&lt;&gt;Completed")-COUNTIFS(TRACKER!$B$4:$B$1002,"Lacquer",TRACKER!$C$4:$C$1002,"Mechanical",TRACKER!$G$4:$G$1002,"&lt;&gt;Completed")</f>
        <v>0</v>
      </c>
      <c r="F13" s="34">
        <f>COUNTIFS(TRACKER!$B$4:$B$1002,"Lacquer",TRACKER!$G$4:$G$1002,"&lt;&gt;Completed")</f>
        <v>1</v>
      </c>
      <c r="G13" s="35">
        <f>COUNTIFS(TRACKER!$B$4:$B$1002,"Lacquer",TRACKER!$G$4:$G$1002,"Completed")</f>
        <v>11</v>
      </c>
      <c r="H13" s="36">
        <f>IFERROR(AVERAGEIF(TRACKER!$B$4:$B$1002,"Lacquer",TRACKER!$F$4:$F$1002),0)</f>
        <v>0.9333333333333332</v>
      </c>
    </row>
    <row r="14" ht="18" customHeight="1" spans="2:8" x14ac:dyDescent="0.25">
      <c r="B14" s="37" t="str">
        <f>HYPERLINK("#TRACKER!B" &amp; (MATCH("Accumulator", TRACKER!$B$4:$B$1002, 0) + 2), "🔄 Accumulator")</f>
        <v>🔄 Accumulator</v>
      </c>
      <c r="C14" s="26">
        <f>COUNTIFS(TRACKER!$B$4:$B$1002,"Accumulator",TRACKER!$C$4:$C$1002,"Electrical",TRACKER!$G$4:$G$1002,"&lt;&gt;Completed")</f>
        <v>0</v>
      </c>
      <c r="D14" s="26">
        <f>COUNTIFS(TRACKER!$B$4:$B$1002,"Accumulator",TRACKER!$C$4:$C$1002,"Mechanical",TRACKER!$G$4:$G$1002,"&lt;&gt;Completed")</f>
        <v>1</v>
      </c>
      <c r="E14" s="27">
        <f>COUNTIFS(TRACKER!$B$4:$B$1002,"Accumulator",TRACKER!$G$4:$G$1002,"&lt;&gt;Completed")-COUNTIFS(TRACKER!$B$4:$B$1002,"Accumulator",TRACKER!$C$4:$C$1002,"Electrical",TRACKER!$G$4:$G$1002,"&lt;&gt;Completed")-COUNTIFS(TRACKER!$B$4:$B$1002,"Accumulator",TRACKER!$C$4:$C$1002,"Mechanical",TRACKER!$G$4:$G$1002,"&lt;&gt;Completed")</f>
        <v>0</v>
      </c>
      <c r="F14" s="28">
        <f>COUNTIFS(TRACKER!$B$4:$B$1002,"Accumulator",TRACKER!$G$4:$G$1002,"&lt;&gt;Completed")</f>
        <v>1</v>
      </c>
      <c r="G14" s="29">
        <f>COUNTIFS(TRACKER!$B$4:$B$1002,"Accumulator",TRACKER!$G$4:$G$1002,"Completed")</f>
        <v>0</v>
      </c>
      <c r="H14" s="30">
        <f>IFERROR(AVERAGEIF(TRACKER!$B$4:$B$1002,"Accumulator",TRACKER!$F$4:$F$1002),0)</f>
        <v>0.5</v>
      </c>
    </row>
    <row r="15" ht="18" customHeight="1" spans="2:8" x14ac:dyDescent="0.25">
      <c r="B15" s="25" t="str">
        <f>HYPERLINK("#TRACKER!B" &amp; (MATCH("Base Coat", TRACKER!$B$4:$B$1002, 0) + 2), "🖌️ Base Coat")</f>
        <v>🖌️ Base Coat</v>
      </c>
      <c r="C15" s="26">
        <f>COUNTIFS(TRACKER!$B$4:$B$1002,"Base Coat",TRACKER!$C$4:$C$1002,"Electrical",TRACKER!$G$4:$G$1002,"&lt;&gt;Completed")</f>
        <v>2</v>
      </c>
      <c r="D15" s="26">
        <f>COUNTIFS(TRACKER!$B$4:$B$1002,"Base Coat",TRACKER!$C$4:$C$1002,"Mechanical",TRACKER!$G$4:$G$1002,"&lt;&gt;Completed")</f>
        <v>6</v>
      </c>
      <c r="E15" s="27">
        <f>COUNTIFS(TRACKER!$B$4:$B$1002,"Base Coat",TRACKER!$G$4:$G$1002,"&lt;&gt;Completed")-COUNTIFS(TRACKER!$B$4:$B$1002,"Base Coat",TRACKER!$C$4:$C$1002,"Electrical",TRACKER!$G$4:$G$1002,"&lt;&gt;Completed")-COUNTIFS(TRACKER!$B$4:$B$1002,"Base Coat",TRACKER!$C$4:$C$1002,"Mechanical",TRACKER!$G$4:$G$1002,"&lt;&gt;Completed")</f>
        <v>0</v>
      </c>
      <c r="F15" s="28">
        <f>COUNTIFS(TRACKER!$B$4:$B$1002,"Base Coat",TRACKER!$G$4:$G$1002,"&lt;&gt;Completed")</f>
        <v>8</v>
      </c>
      <c r="G15" s="29">
        <f>COUNTIFS(TRACKER!$B$4:$B$1002,"Base Coat",TRACKER!$G$4:$G$1002,"Completed")</f>
        <v>2</v>
      </c>
      <c r="H15" s="30">
        <f>IFERROR(AVERAGEIF(TRACKER!$B$4:$B$1002,"Base Coat",TRACKER!$F$4:$F$1002),0)</f>
        <v>0.345</v>
      </c>
    </row>
    <row r="16" ht="18" customHeight="1" spans="2:8" x14ac:dyDescent="0.25">
      <c r="B16" s="31" t="str">
        <f>HYPERLINK("#TRACKER!B" &amp; (MATCH("Printing", TRACKER!$B$4:$B$1002, 0) + 2), "🖨️ Printing")</f>
        <v>🖨️ Printing</v>
      </c>
      <c r="C16" s="32">
        <f>COUNTIFS(TRACKER!$B$4:$B$1002,"Printing",TRACKER!$C$4:$C$1002,"Electrical",TRACKER!$G$4:$G$1002,"&lt;&gt;Completed")</f>
        <v>4</v>
      </c>
      <c r="D16" s="32">
        <f>COUNTIFS(TRACKER!$B$4:$B$1002,"Printing",TRACKER!$C$4:$C$1002,"Mechanical",TRACKER!$G$4:$G$1002,"&lt;&gt;Completed")</f>
        <v>5</v>
      </c>
      <c r="E16" s="33">
        <f>COUNTIFS(TRACKER!$B$4:$B$1002,"Printing",TRACKER!$G$4:$G$1002,"&lt;&gt;Completed")-COUNTIFS(TRACKER!$B$4:$B$1002,"Printing",TRACKER!$C$4:$C$1002,"Electrical",TRACKER!$G$4:$G$1002,"&lt;&gt;Completed")-COUNTIFS(TRACKER!$B$4:$B$1002,"Printing",TRACKER!$C$4:$C$1002,"Mechanical",TRACKER!$G$4:$G$1002,"&lt;&gt;Completed")</f>
        <v>1</v>
      </c>
      <c r="F16" s="34">
        <f>COUNTIFS(TRACKER!$B$4:$B$1002,"Printing",TRACKER!$G$4:$G$1002,"&lt;&gt;Completed")</f>
        <v>10</v>
      </c>
      <c r="G16" s="35">
        <f>COUNTIFS(TRACKER!$B$4:$B$1002,"Printing",TRACKER!$G$4:$G$1002,"Completed")</f>
        <v>4</v>
      </c>
      <c r="H16" s="36">
        <f>IFERROR(AVERAGEIF(TRACKER!$B$4:$B$1002,"Printing",TRACKER!$F$4:$F$1002),0)</f>
        <v>0.525</v>
      </c>
    </row>
    <row r="17" ht="18" customHeight="1" spans="2:8" x14ac:dyDescent="0.25">
      <c r="B17" s="25" t="str">
        <f>HYPERLINK("#TRACKER!B" &amp; (MATCH("Over Varnish", TRACKER!$B$4:$B$1002, 0) + 2), "✨ Over Varnish")</f>
        <v>✨ Over Varnish</v>
      </c>
      <c r="C17" s="26">
        <f>COUNTIFS(TRACKER!$B$4:$B$1002,"Over Varnish",TRACKER!$C$4:$C$1002,"Electrical",TRACKER!$G$4:$G$1002,"&lt;&gt;Completed")</f>
        <v>3</v>
      </c>
      <c r="D17" s="26">
        <f>COUNTIFS(TRACKER!$B$4:$B$1002,"Over Varnish",TRACKER!$C$4:$C$1002,"Mechanical",TRACKER!$G$4:$G$1002,"&lt;&gt;Completed")</f>
        <v>4</v>
      </c>
      <c r="E17" s="27">
        <f>COUNTIFS(TRACKER!$B$4:$B$1002,"Over Varnish",TRACKER!$G$4:$G$1002,"&lt;&gt;Completed")-COUNTIFS(TRACKER!$B$4:$B$1002,"Over Varnish",TRACKER!$C$4:$C$1002,"Electrical",TRACKER!$G$4:$G$1002,"&lt;&gt;Completed")-COUNTIFS(TRACKER!$B$4:$B$1002,"Over Varnish",TRACKER!$C$4:$C$1002,"Mechanical",TRACKER!$G$4:$G$1002,"&lt;&gt;Completed")</f>
        <v>1</v>
      </c>
      <c r="F17" s="28">
        <f>COUNTIFS(TRACKER!$B$4:$B$1002,"Over Varnish",TRACKER!$G$4:$G$1002,"&lt;&gt;Completed")</f>
        <v>8</v>
      </c>
      <c r="G17" s="29">
        <f>COUNTIFS(TRACKER!$B$4:$B$1002,"Over Varnish",TRACKER!$G$4:$G$1002,"Completed")</f>
        <v>4</v>
      </c>
      <c r="H17" s="30">
        <f>IFERROR(AVERAGEIF(TRACKER!$B$4:$B$1002,"Over Varnish",TRACKER!$F$4:$F$1002),0)</f>
        <v>0.4291666666666667</v>
      </c>
    </row>
    <row r="18" ht="18" customHeight="1" spans="2:8" x14ac:dyDescent="0.25">
      <c r="B18" s="38" t="str">
        <f>HYPERLINK("#TRACKER!B" &amp; (MATCH("decoration  Oven", TRACKER!$B$4:$B$1002, 0) + 2), "🔥 decoration  Oven")</f>
        <v>🔥 decoration  Oven</v>
      </c>
      <c r="C18" s="26">
        <f>COUNTIFS(TRACKER!$B$4:$B$1002,"decoration  Oven",TRACKER!$C$4:$C$1002,"Electrical",TRACKER!$G$4:$G$1002,"&lt;&gt;Completed")</f>
        <v>2</v>
      </c>
      <c r="D18" s="26">
        <f>COUNTIFS(TRACKER!$B$4:$B$1002,"decoration  Oven",TRACKER!$C$4:$C$1002,"Mechanical",TRACKER!$G$4:$G$1002,"&lt;&gt;Completed")</f>
        <v>0</v>
      </c>
      <c r="E18" s="27">
        <f>COUNTIFS(TRACKER!$B$4:$B$1002,"decoration  Oven",TRACKER!$G$4:$G$1002,"&lt;&gt;Completed")-COUNTIFS(TRACKER!$B$4:$B$1002,"decoration  Oven",TRACKER!$C$4:$C$1002,"Electrical",TRACKER!$G$4:$G$1002,"&lt;&gt;Completed")-COUNTIFS(TRACKER!$B$4:$B$1002,"decoration  Oven",TRACKER!$C$4:$C$1002,"Mechanical",TRACKER!$G$4:$G$1002,"&lt;&gt;Completed")</f>
        <v>1</v>
      </c>
      <c r="F18" s="28">
        <f>COUNTIFS(TRACKER!$B$4:$B$1002,"decoration  Oven",TRACKER!$G$4:$G$1002,"&lt;&gt;Completed")</f>
        <v>3</v>
      </c>
      <c r="G18" s="29">
        <f>COUNTIFS(TRACKER!$B$4:$B$1002,"decoration  Oven",TRACKER!$G$4:$G$1002,"Completed")</f>
        <v>2</v>
      </c>
      <c r="H18" s="30">
        <f>IFERROR(AVERAGEIF(TRACKER!$B$4:$B$1002,"decoration  Oven",TRACKER!$F$4:$F$1002),0)</f>
        <v>0.4</v>
      </c>
    </row>
    <row r="19" ht="18" customHeight="1" spans="2:8" x14ac:dyDescent="0.25">
      <c r="B19" s="25" t="str">
        <f>HYPERLINK("#TRACKER!B" &amp; (MATCH("Necking", TRACKER!$B$4:$B$1002, 0) + 2), "🔩 Necking")</f>
        <v>🔩 Necking</v>
      </c>
      <c r="C19" s="26">
        <f>COUNTIFS(TRACKER!$B$4:$B$1002,"Necking",TRACKER!$C$4:$C$1002,"Electrical",TRACKER!$G$4:$G$1002,"&lt;&gt;Completed")</f>
        <v>1</v>
      </c>
      <c r="D19" s="26">
        <f>COUNTIFS(TRACKER!$B$4:$B$1002,"Necking",TRACKER!$C$4:$C$1002,"Mechanical",TRACKER!$G$4:$G$1002,"&lt;&gt;Completed")</f>
        <v>7</v>
      </c>
      <c r="E19" s="27">
        <f>COUNTIFS(TRACKER!$B$4:$B$1002,"Necking",TRACKER!$G$4:$G$1002,"&lt;&gt;Completed")-COUNTIFS(TRACKER!$B$4:$B$1002,"Necking",TRACKER!$C$4:$C$1002,"Electrical",TRACKER!$G$4:$G$1002,"&lt;&gt;Completed")-COUNTIFS(TRACKER!$B$4:$B$1002,"Necking",TRACKER!$C$4:$C$1002,"Mechanical",TRACKER!$G$4:$G$1002,"&lt;&gt;Completed")</f>
        <v>1</v>
      </c>
      <c r="F19" s="28">
        <f>COUNTIFS(TRACKER!$B$4:$B$1002,"Necking",TRACKER!$G$4:$G$1002,"&lt;&gt;Completed")</f>
        <v>9</v>
      </c>
      <c r="G19" s="29">
        <f>COUNTIFS(TRACKER!$B$4:$B$1002,"Necking",TRACKER!$G$4:$G$1002,"Completed")</f>
        <v>3</v>
      </c>
      <c r="H19" s="30">
        <f>IFERROR(AVERAGEIF(TRACKER!$B$4:$B$1002,"Necking",TRACKER!$F$4:$F$1002),0)</f>
        <v>0.30833333333333335</v>
      </c>
    </row>
    <row r="20" ht="18" customHeight="1" spans="2:8" x14ac:dyDescent="0.25">
      <c r="B20" s="38" t="str">
        <f>HYPERLINK("#TRACKER!B" &amp; (MATCH("Auto strapping machine", TRACKER!$B$4:$B$1002, 0) + 2), "📦 Auto strapping machine")</f>
        <v>📦 Auto strapping machine</v>
      </c>
      <c r="C20" s="26">
        <f>COUNTIFS(TRACKER!$B$4:$B$1002,"Auto strapping machine",TRACKER!$C$4:$C$1002,"Electrical",TRACKER!$G$4:$G$1002,"&lt;&gt;Completed")</f>
        <v>1</v>
      </c>
      <c r="D20" s="26">
        <f>COUNTIFS(TRACKER!$B$4:$B$1002,"Auto strapping machine",TRACKER!$C$4:$C$1002,"Mechanical",TRACKER!$G$4:$G$1002,"&lt;&gt;Completed")</f>
        <v>2</v>
      </c>
      <c r="E20" s="27">
        <f>COUNTIFS(TRACKER!$B$4:$B$1002,"Auto strapping machine",TRACKER!$G$4:$G$1002,"&lt;&gt;Completed")-COUNTIFS(TRACKER!$B$4:$B$1002,"Auto strapping machine",TRACKER!$C$4:$C$1002,"Electrical",TRACKER!$G$4:$G$1002,"&lt;&gt;Completed")-COUNTIFS(TRACKER!$B$4:$B$1002,"Auto strapping machine",TRACKER!$C$4:$C$1002,"Mechanical",TRACKER!$G$4:$G$1002,"&lt;&gt;Completed")</f>
        <v>0</v>
      </c>
      <c r="F20" s="28">
        <f>COUNTIFS(TRACKER!$B$4:$B$1002,"Auto strapping machine",TRACKER!$G$4:$G$1002,"&lt;&gt;Completed")</f>
        <v>3</v>
      </c>
      <c r="G20" s="29">
        <f>COUNTIFS(TRACKER!$B$4:$B$1002,"Auto strapping machine",TRACKER!$G$4:$G$1002,"Completed")</f>
        <v>0</v>
      </c>
      <c r="H20" s="30">
        <f>IFERROR(AVERAGEIF(TRACKER!$B$4:$B$1002,"Auto strapping machine",TRACKER!$F$4:$F$1002),0)</f>
        <v>0</v>
      </c>
    </row>
    <row r="21" ht="18" customHeight="1" spans="2:8" x14ac:dyDescent="0.25">
      <c r="B21" s="38" t="str">
        <f>HYPERLINK("#TRACKER!B" &amp; (MATCH("Manual Strapping Machine", TRACKER!$B$4:$B$1002, 0) + 2), "📦 Manual strapping machine")</f>
        <v>📦 Manual strapping machine</v>
      </c>
      <c r="C21" s="26">
        <f>COUNTIFS(TRACKER!$B$4:$B$1002,"Manual Strapping Machine",TRACKER!$C$4:$C$1002,"Electrical",TRACKER!$G$4:$G$1002,"&lt;&gt;Completed")</f>
        <v>1</v>
      </c>
      <c r="D21" s="26">
        <f>COUNTIFS(TRACKER!$B$4:$B$1002,"Manual Strapping Machine",TRACKER!$C$4:$C$1002,"Mechanical",TRACKER!$G$4:$G$1002,"&lt;&gt;Completed")</f>
        <v>1</v>
      </c>
      <c r="E21" s="27">
        <f>COUNTIFS(TRACKER!$B$4:$B$1002,"Manual Strapping Machine",TRACKER!$G$4:$G$1002,"&lt;&gt;Completed")-COUNTIFS(TRACKER!$B$4:$B$1002,"Manual Strapping Machine",TRACKER!$C$4:$C$1002,"Electrical",TRACKER!$G$4:$G$1002,"&lt;&gt;Completed")-COUNTIFS(TRACKER!$B$4:$B$1002,"Manual Strapping Machine",TRACKER!$C$4:$C$1002,"Mechanical",TRACKER!$G$4:$G$1002,"&lt;&gt;Completed")</f>
        <v>0</v>
      </c>
      <c r="F21" s="28">
        <f>COUNTIFS(TRACKER!$B$4:$B$1002,"Manual Strapping Machine",TRACKER!$G$4:$G$1002,"&lt;&gt;Completed")</f>
        <v>2</v>
      </c>
      <c r="G21" s="29">
        <f>COUNTIFS(TRACKER!$B$4:$B$1002,"Manual Strapping Machine",TRACKER!$G$4:$G$1002,"Completed")</f>
        <v>0</v>
      </c>
      <c r="H21" s="30">
        <f>IFERROR(AVERAGEIF(TRACKER!$B$4:$B$1002,"Manual Strapping Machine",TRACKER!$F$4:$F$1002),0)</f>
        <v>0</v>
      </c>
    </row>
    <row r="22" ht="18" customHeight="1" spans="2:8" x14ac:dyDescent="0.25">
      <c r="B22" s="25" t="str">
        <f>HYPERLINK("#TRACKER!B" &amp; (MATCH("Compressor", TRACKER!$B$4:$B$1002, 0) + 2), "💨 Compressor")</f>
        <v>💨 Compressor</v>
      </c>
      <c r="C22" s="26">
        <f>COUNTIFS(TRACKER!$B$4:$B$1002,"Compressor",TRACKER!$C$4:$C$1002,"Electrical",TRACKER!$G$4:$G$1002,"&lt;&gt;Completed")</f>
        <v>0</v>
      </c>
      <c r="D22" s="26">
        <f>COUNTIFS(TRACKER!$B$4:$B$1002,"Compressor",TRACKER!$C$4:$C$1002,"Mechanical",TRACKER!$G$4:$G$1002,"&lt;&gt;Completed")</f>
        <v>2</v>
      </c>
      <c r="E22" s="27">
        <f>COUNTIFS(TRACKER!$B$4:$B$1002,"Compressor",TRACKER!$G$4:$G$1002,"&lt;&gt;Completed")-COUNTIFS(TRACKER!$B$4:$B$1002,"Compressor",TRACKER!$C$4:$C$1002,"Electrical",TRACKER!$G$4:$G$1002,"&lt;&gt;Completed")-COUNTIFS(TRACKER!$B$4:$B$1002,"Compressor",TRACKER!$C$4:$C$1002,"Mechanical",TRACKER!$G$4:$G$1002,"&lt;&gt;Completed")</f>
        <v>0</v>
      </c>
      <c r="F22" s="28">
        <f>COUNTIFS(TRACKER!$B$4:$B$1002,"Compressor",TRACKER!$G$4:$G$1002,"&lt;&gt;Completed")</f>
        <v>2</v>
      </c>
      <c r="G22" s="29">
        <f>COUNTIFS(TRACKER!$B$4:$B$1002,"Compressor",TRACKER!$G$4:$G$1002,"Completed")</f>
        <v>3</v>
      </c>
      <c r="H22" s="30">
        <f>IFERROR(AVERAGEIF(TRACKER!$B$4:$B$1002,"Compressor",TRACKER!$F$4:$F$1002),0)</f>
        <v>0.6</v>
      </c>
    </row>
    <row r="23" ht="18" customHeight="1" spans="2:8" x14ac:dyDescent="0.25">
      <c r="B23" s="31" t="str">
        <f>HYPERLINK("#TRACKER!B" &amp; (MATCH("General", TRACKER!$B$4:$B$1002, 0) + 2), "📋 General")</f>
        <v>📋 General</v>
      </c>
      <c r="C23" s="32">
        <f>COUNTIFS(TRACKER!$B$4:$B$1002,"General",TRACKER!$C$4:$C$1002,"Electrical",TRACKER!$G$4:$G$1002,"&lt;&gt;Completed")</f>
        <v>3</v>
      </c>
      <c r="D23" s="32">
        <f>COUNTIFS(TRACKER!$B$4:$B$1002,"General",TRACKER!$C$4:$C$1002,"Mechanical",TRACKER!$G$4:$G$1002,"&lt;&gt;Completed")</f>
        <v>5</v>
      </c>
      <c r="E23" s="33">
        <f>COUNTIFS(TRACKER!$B$4:$B$1002,"General",TRACKER!$G$4:$G$1002,"&lt;&gt;Completed")-COUNTIFS(TRACKER!$B$4:$B$1002,"General",TRACKER!$C$4:$C$1002,"Electrical",TRACKER!$G$4:$G$1002,"&lt;&gt;Completed")-COUNTIFS(TRACKER!$B$4:$B$1002,"General",TRACKER!$C$4:$C$1002,"Mechanical",TRACKER!$G$4:$G$1002,"&lt;&gt;Completed")</f>
        <v>8</v>
      </c>
      <c r="F23" s="34">
        <f>COUNTIFS(TRACKER!$B$4:$B$1002,"General",TRACKER!$G$4:$G$1002,"&lt;&gt;Completed")</f>
        <v>16</v>
      </c>
      <c r="G23" s="35">
        <f>COUNTIFS(TRACKER!$B$4:$B$1002,"General",TRACKER!$G$4:$G$1002,"Completed")</f>
        <v>2</v>
      </c>
      <c r="H23" s="36">
        <f>IFERROR(AVERAGEIF(TRACKER!$B$4:$B$1002,"General",TRACKER!$F$4:$F$1002),0)</f>
        <v>0.23333333333333334</v>
      </c>
    </row>
    <row r="24" spans="2:8" x14ac:dyDescent="0.25">
      <c r="B24" s="9"/>
      <c r="C24" s="10"/>
      <c r="D24" s="10"/>
      <c r="E24" s="10"/>
      <c r="F24" s="10"/>
      <c r="G24" s="10"/>
      <c r="H24" s="11"/>
    </row>
    <row r="25" ht="19.5" customHeight="1" spans="2:8" x14ac:dyDescent="0.25">
      <c r="B25" s="22" t="s">
        <v>15</v>
      </c>
      <c r="C25" s="23"/>
      <c r="D25" s="23"/>
      <c r="E25" s="23"/>
      <c r="F25" s="23"/>
      <c r="G25" s="23"/>
      <c r="H25" s="24"/>
    </row>
    <row r="26" ht="18" customHeight="1" spans="2:8" x14ac:dyDescent="0.25">
      <c r="B26" s="39" t="s">
        <v>16</v>
      </c>
      <c r="C26" s="40"/>
      <c r="D26" s="40"/>
      <c r="E26" s="40"/>
      <c r="F26" s="41">
        <f>COUNTIFS(TRACKER!$E$4:$E$1002,"High",TRACKER!$G$4:$G$1002,"&lt;&gt;Completed")</f>
        <v>66</v>
      </c>
      <c r="G26" s="40"/>
      <c r="H26" s="42"/>
    </row>
    <row r="27" ht="18" customHeight="1" spans="2:8" x14ac:dyDescent="0.25">
      <c r="B27" s="43" t="s">
        <v>17</v>
      </c>
      <c r="C27" s="44"/>
      <c r="D27" s="44"/>
      <c r="E27" s="44"/>
      <c r="F27" s="45">
        <f>COUNTIFS(TRACKER!$E$4:$E$1002,"Medium",TRACKER!$G$4:$G$1002,"&lt;&gt;Completed")</f>
        <v>39</v>
      </c>
      <c r="G27" s="44"/>
      <c r="H27" s="46"/>
    </row>
    <row r="28" ht="18" customHeight="1" spans="2:8" x14ac:dyDescent="0.25">
      <c r="B28" s="47" t="s">
        <v>18</v>
      </c>
      <c r="C28" s="40"/>
      <c r="D28" s="40"/>
      <c r="E28" s="40"/>
      <c r="F28" s="48">
        <f>COUNTIFS(TRACKER!$E$4:$E$1002,"Low",TRACKER!$G$4:$G$1002,"&lt;&gt;Completed")</f>
        <v>3</v>
      </c>
      <c r="G28" s="40"/>
      <c r="H28" s="42"/>
    </row>
    <row r="29" ht="13.5" customHeight="1" spans="2:8" x14ac:dyDescent="0.25">
      <c r="B29" s="49"/>
      <c r="C29" s="50"/>
      <c r="D29" s="50"/>
      <c r="E29" s="50"/>
      <c r="F29" s="50"/>
      <c r="G29" s="50"/>
      <c r="H29" s="51"/>
    </row>
    <row r="30" ht="19.5" customHeight="1" spans="2:8" x14ac:dyDescent="0.25">
      <c r="B30" s="52" t="s">
        <v>19</v>
      </c>
      <c r="C30" s="53"/>
      <c r="D30" s="53"/>
      <c r="E30" s="53"/>
      <c r="F30" s="53"/>
      <c r="G30" s="53"/>
      <c r="H30" s="53"/>
    </row>
    <row r="31" ht="18" customHeight="1" spans="2:6" x14ac:dyDescent="0.25">
      <c r="B31" s="54" t="s">
        <v>5</v>
      </c>
      <c r="C31" s="55" t="s">
        <v>6</v>
      </c>
      <c r="D31" s="56" t="s">
        <v>20</v>
      </c>
      <c r="E31" s="57" t="s">
        <v>4</v>
      </c>
      <c r="F31" s="58" t="s">
        <v>8</v>
      </c>
    </row>
  </sheetData>
  <mergeCells count="1">
    <mergeCell ref="B1:H1"/>
  </mergeCells>
  <pageMargins left="0.75" right="0.75" top="1" bottom="1" header="0.511811023622047" footer="0.511811023622047"/>
  <pageSetup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3"/>
  <sheetViews>
    <sheetView workbookViewId="0" showGridLines="0" zoomScale="100" zoomScaleNormal="100">
      <pane xSplit="3" ySplit="2" topLeftCell="D129" activePane="bottomRight" state="frozen"/>
      <selection pane="bottomRight" activeCell="J135" sqref="J135"/>
    </sheetView>
  </sheetViews>
  <sheetFormatPr defaultRowHeight="15" outlineLevelRow="0" outlineLevelCol="0" x14ac:dyDescent="0.25" defaultColWidth="8.7109375"/>
  <cols>
    <col min="1" max="1" width="6.42578125" customWidth="1"/>
    <col min="2" max="2" width="16.85546875" style="59" customWidth="1"/>
    <col min="3" max="3" width="13.42578125" customWidth="1"/>
    <col min="4" max="4" width="51.28515625" customWidth="1"/>
    <col min="5" max="5" width="11.85546875" customWidth="1"/>
    <col min="6" max="6" width="13.42578125" customWidth="1"/>
    <col min="7" max="7" width="14.28515625" customWidth="1"/>
    <col min="8" max="8" width="16.140625" customWidth="1"/>
    <col min="9" max="9" width="13.7109375" customWidth="1"/>
    <col min="10" max="10" width="47.42578125" customWidth="1"/>
  </cols>
  <sheetData>
    <row r="1" ht="16.5" customHeight="1" spans="1:10" x14ac:dyDescent="0.25">
      <c r="A1" s="60" t="s">
        <v>21</v>
      </c>
      <c r="B1" s="61"/>
      <c r="C1" s="61"/>
      <c r="D1" s="61"/>
      <c r="E1" s="61"/>
      <c r="F1" s="61"/>
      <c r="G1" s="61"/>
      <c r="H1" s="61"/>
      <c r="I1" s="62"/>
      <c r="J1" s="63" t="s">
        <v>22</v>
      </c>
    </row>
    <row r="2" spans="1:10" x14ac:dyDescent="0.25">
      <c r="A2" s="64" t="s">
        <v>23</v>
      </c>
      <c r="B2" s="65" t="s">
        <v>10</v>
      </c>
      <c r="C2" s="66" t="s">
        <v>24</v>
      </c>
      <c r="D2" s="66" t="s">
        <v>25</v>
      </c>
      <c r="E2" s="66" t="s">
        <v>26</v>
      </c>
      <c r="F2" s="66" t="s">
        <v>27</v>
      </c>
      <c r="G2" s="66" t="s">
        <v>28</v>
      </c>
      <c r="H2" s="66" t="s">
        <v>29</v>
      </c>
      <c r="I2" s="66" t="s">
        <v>30</v>
      </c>
      <c r="J2" s="66" t="s">
        <v>31</v>
      </c>
    </row>
    <row r="3" spans="1:10" x14ac:dyDescent="0.25">
      <c r="A3" s="67">
        <v>1</v>
      </c>
      <c r="B3" s="68" t="s">
        <v>32</v>
      </c>
      <c r="C3" s="69" t="s">
        <v>33</v>
      </c>
      <c r="D3" s="68" t="s">
        <v>34</v>
      </c>
      <c r="E3" s="70" t="s">
        <v>35</v>
      </c>
      <c r="F3" s="71">
        <v>0.8</v>
      </c>
      <c r="G3" s="72" t="s">
        <v>5</v>
      </c>
      <c r="H3" s="73" t="s">
        <v>36</v>
      </c>
      <c r="I3" s="74" t="s">
        <v>37</v>
      </c>
      <c r="J3" s="69" t="s">
        <v>38</v>
      </c>
    </row>
    <row r="4" spans="1:10" x14ac:dyDescent="0.25">
      <c r="A4" s="67">
        <v>2</v>
      </c>
      <c r="B4" s="68" t="s">
        <v>32</v>
      </c>
      <c r="C4" s="75" t="s">
        <v>39</v>
      </c>
      <c r="D4" s="68" t="s">
        <v>40</v>
      </c>
      <c r="E4" s="70" t="s">
        <v>41</v>
      </c>
      <c r="F4" s="71">
        <v>1</v>
      </c>
      <c r="G4" s="72" t="s">
        <v>4</v>
      </c>
      <c r="H4" s="73" t="s">
        <v>36</v>
      </c>
      <c r="I4" s="75" t="s">
        <v>37</v>
      </c>
      <c r="J4" s="75" t="s">
        <v>37</v>
      </c>
    </row>
    <row r="5" ht="25.5" customHeight="1" spans="1:10" x14ac:dyDescent="0.25">
      <c r="A5" s="67">
        <v>3</v>
      </c>
      <c r="B5" s="68" t="s">
        <v>32</v>
      </c>
      <c r="C5" s="75" t="s">
        <v>39</v>
      </c>
      <c r="D5" s="68" t="s">
        <v>42</v>
      </c>
      <c r="E5" s="70" t="s">
        <v>41</v>
      </c>
      <c r="F5" s="71">
        <v>0.1</v>
      </c>
      <c r="G5" s="72" t="s">
        <v>5</v>
      </c>
      <c r="H5" s="73" t="s">
        <v>36</v>
      </c>
      <c r="I5" s="75" t="s">
        <v>37</v>
      </c>
      <c r="J5" s="75" t="s">
        <v>37</v>
      </c>
    </row>
    <row r="6" ht="25.5" customHeight="1" spans="1:10" x14ac:dyDescent="0.25">
      <c r="A6" s="67">
        <v>4</v>
      </c>
      <c r="B6" s="68" t="s">
        <v>43</v>
      </c>
      <c r="C6" s="75" t="s">
        <v>39</v>
      </c>
      <c r="D6" s="68" t="s">
        <v>44</v>
      </c>
      <c r="E6" s="70" t="s">
        <v>41</v>
      </c>
      <c r="F6" s="71">
        <v>0</v>
      </c>
      <c r="G6" s="72" t="s">
        <v>6</v>
      </c>
      <c r="H6" s="73" t="s">
        <v>36</v>
      </c>
      <c r="I6" s="75" t="s">
        <v>37</v>
      </c>
      <c r="J6" s="75" t="s">
        <v>37</v>
      </c>
    </row>
    <row r="7" ht="25.5" customHeight="1" spans="1:10" x14ac:dyDescent="0.25">
      <c r="A7" s="67">
        <v>5</v>
      </c>
      <c r="B7" s="68" t="s">
        <v>43</v>
      </c>
      <c r="C7" s="75" t="s">
        <v>39</v>
      </c>
      <c r="D7" s="68" t="s">
        <v>34</v>
      </c>
      <c r="E7" s="70" t="s">
        <v>45</v>
      </c>
      <c r="F7" s="71">
        <v>0</v>
      </c>
      <c r="G7" s="72" t="s">
        <v>6</v>
      </c>
      <c r="H7" s="73" t="s">
        <v>36</v>
      </c>
      <c r="I7" s="75" t="s">
        <v>37</v>
      </c>
      <c r="J7" s="75" t="s">
        <v>37</v>
      </c>
    </row>
    <row r="8" spans="1:10" x14ac:dyDescent="0.25">
      <c r="A8" s="67">
        <v>6</v>
      </c>
      <c r="B8" s="68" t="s">
        <v>43</v>
      </c>
      <c r="C8" s="75" t="s">
        <v>33</v>
      </c>
      <c r="D8" s="68" t="s">
        <v>46</v>
      </c>
      <c r="E8" s="70" t="s">
        <v>41</v>
      </c>
      <c r="F8" s="71">
        <v>0</v>
      </c>
      <c r="G8" s="72" t="s">
        <v>6</v>
      </c>
      <c r="H8" s="73" t="s">
        <v>36</v>
      </c>
      <c r="I8" s="74" t="s">
        <v>37</v>
      </c>
      <c r="J8" s="75" t="s">
        <v>37</v>
      </c>
    </row>
    <row r="9" spans="1:10" x14ac:dyDescent="0.25">
      <c r="A9" s="67">
        <v>7</v>
      </c>
      <c r="B9" s="68" t="s">
        <v>47</v>
      </c>
      <c r="C9" s="75" t="s">
        <v>39</v>
      </c>
      <c r="D9" s="68" t="s">
        <v>48</v>
      </c>
      <c r="E9" s="70" t="s">
        <v>41</v>
      </c>
      <c r="F9" s="71">
        <v>0</v>
      </c>
      <c r="G9" s="72" t="s">
        <v>6</v>
      </c>
      <c r="H9" s="73" t="s">
        <v>49</v>
      </c>
      <c r="I9" s="74">
        <v>46192.79166666667</v>
      </c>
      <c r="J9" s="75" t="s">
        <v>37</v>
      </c>
    </row>
    <row r="10" spans="1:10" x14ac:dyDescent="0.25">
      <c r="A10" s="67">
        <v>8</v>
      </c>
      <c r="B10" s="68" t="s">
        <v>47</v>
      </c>
      <c r="C10" s="75" t="s">
        <v>39</v>
      </c>
      <c r="D10" s="68" t="s">
        <v>50</v>
      </c>
      <c r="E10" s="70" t="s">
        <v>41</v>
      </c>
      <c r="F10" s="71">
        <v>1</v>
      </c>
      <c r="G10" s="72" t="s">
        <v>4</v>
      </c>
      <c r="H10" s="73" t="s">
        <v>49</v>
      </c>
      <c r="I10" s="74">
        <v>46197.79166666667</v>
      </c>
      <c r="J10" s="75" t="s">
        <v>37</v>
      </c>
    </row>
    <row r="11" spans="1:10" x14ac:dyDescent="0.25">
      <c r="A11" s="67">
        <v>9</v>
      </c>
      <c r="B11" s="68" t="s">
        <v>47</v>
      </c>
      <c r="C11" s="75" t="s">
        <v>39</v>
      </c>
      <c r="D11" s="68" t="s">
        <v>51</v>
      </c>
      <c r="E11" s="70" t="s">
        <v>41</v>
      </c>
      <c r="F11" s="71">
        <v>1</v>
      </c>
      <c r="G11" s="72" t="s">
        <v>4</v>
      </c>
      <c r="H11" s="73" t="s">
        <v>49</v>
      </c>
      <c r="I11" s="74">
        <v>46197.79166666667</v>
      </c>
      <c r="J11" s="75" t="s">
        <v>37</v>
      </c>
    </row>
    <row r="12" spans="1:10" x14ac:dyDescent="0.25">
      <c r="A12" s="67">
        <v>10</v>
      </c>
      <c r="B12" s="68" t="s">
        <v>47</v>
      </c>
      <c r="C12" s="75" t="s">
        <v>39</v>
      </c>
      <c r="D12" s="68" t="s">
        <v>52</v>
      </c>
      <c r="E12" s="70" t="s">
        <v>41</v>
      </c>
      <c r="F12" s="71">
        <v>1</v>
      </c>
      <c r="G12" s="72" t="s">
        <v>4</v>
      </c>
      <c r="H12" s="73" t="s">
        <v>49</v>
      </c>
      <c r="I12" s="74">
        <v>46197.79166666667</v>
      </c>
      <c r="J12" s="75" t="s">
        <v>37</v>
      </c>
    </row>
    <row r="13" spans="1:10" x14ac:dyDescent="0.25">
      <c r="A13" s="67">
        <v>11</v>
      </c>
      <c r="B13" s="68" t="s">
        <v>47</v>
      </c>
      <c r="C13" s="75" t="s">
        <v>39</v>
      </c>
      <c r="D13" s="68" t="s">
        <v>53</v>
      </c>
      <c r="E13" s="70" t="s">
        <v>35</v>
      </c>
      <c r="F13" s="71">
        <v>0.5</v>
      </c>
      <c r="G13" s="72" t="s">
        <v>5</v>
      </c>
      <c r="H13" s="73" t="s">
        <v>49</v>
      </c>
      <c r="I13" s="74">
        <v>46197.79166666667</v>
      </c>
      <c r="J13" s="75" t="s">
        <v>37</v>
      </c>
    </row>
    <row r="14" spans="1:10" x14ac:dyDescent="0.25">
      <c r="A14" s="67">
        <v>12</v>
      </c>
      <c r="B14" s="68" t="s">
        <v>47</v>
      </c>
      <c r="C14" s="75" t="s">
        <v>39</v>
      </c>
      <c r="D14" s="68" t="s">
        <v>54</v>
      </c>
      <c r="E14" s="70" t="s">
        <v>41</v>
      </c>
      <c r="F14" s="71">
        <v>1</v>
      </c>
      <c r="G14" s="72" t="s">
        <v>4</v>
      </c>
      <c r="H14" s="73" t="s">
        <v>36</v>
      </c>
      <c r="I14" s="74">
        <v>46197.79166666667</v>
      </c>
      <c r="J14" s="75" t="s">
        <v>37</v>
      </c>
    </row>
    <row r="15" spans="1:10" x14ac:dyDescent="0.25">
      <c r="A15" s="67">
        <v>13</v>
      </c>
      <c r="B15" s="68" t="s">
        <v>47</v>
      </c>
      <c r="C15" s="75" t="s">
        <v>39</v>
      </c>
      <c r="D15" s="68" t="s">
        <v>55</v>
      </c>
      <c r="E15" s="70" t="s">
        <v>41</v>
      </c>
      <c r="F15" s="71">
        <v>1</v>
      </c>
      <c r="G15" s="72" t="s">
        <v>4</v>
      </c>
      <c r="H15" s="73" t="s">
        <v>36</v>
      </c>
      <c r="I15" s="74">
        <v>46197.79166666667</v>
      </c>
      <c r="J15" s="75" t="s">
        <v>37</v>
      </c>
    </row>
    <row r="16" spans="1:10" x14ac:dyDescent="0.25">
      <c r="A16" s="67">
        <v>14</v>
      </c>
      <c r="B16" s="68" t="s">
        <v>47</v>
      </c>
      <c r="C16" s="75" t="s">
        <v>33</v>
      </c>
      <c r="D16" s="68" t="s">
        <v>56</v>
      </c>
      <c r="E16" s="70" t="s">
        <v>41</v>
      </c>
      <c r="F16" s="71">
        <v>0.4</v>
      </c>
      <c r="G16" s="72" t="s">
        <v>5</v>
      </c>
      <c r="H16" s="73" t="s">
        <v>36</v>
      </c>
      <c r="I16" s="74">
        <v>46197.79166666667</v>
      </c>
      <c r="J16" s="75" t="s">
        <v>37</v>
      </c>
    </row>
    <row r="17" spans="1:10" x14ac:dyDescent="0.25">
      <c r="A17" s="67">
        <v>15</v>
      </c>
      <c r="B17" s="68" t="s">
        <v>47</v>
      </c>
      <c r="C17" s="75" t="s">
        <v>39</v>
      </c>
      <c r="D17" s="68" t="s">
        <v>57</v>
      </c>
      <c r="E17" s="70" t="s">
        <v>35</v>
      </c>
      <c r="F17" s="71">
        <v>0</v>
      </c>
      <c r="G17" s="73" t="s">
        <v>6</v>
      </c>
      <c r="H17" s="73" t="s">
        <v>36</v>
      </c>
      <c r="I17" s="74">
        <v>46197.79166666667</v>
      </c>
      <c r="J17" s="75" t="s">
        <v>37</v>
      </c>
    </row>
    <row r="18" spans="1:10" x14ac:dyDescent="0.25">
      <c r="A18" s="67">
        <v>16</v>
      </c>
      <c r="B18" s="68" t="s">
        <v>47</v>
      </c>
      <c r="C18" s="75" t="s">
        <v>33</v>
      </c>
      <c r="D18" s="68" t="s">
        <v>58</v>
      </c>
      <c r="E18" s="70" t="s">
        <v>35</v>
      </c>
      <c r="F18" s="71">
        <v>1</v>
      </c>
      <c r="G18" s="72" t="s">
        <v>4</v>
      </c>
      <c r="H18" s="73" t="s">
        <v>36</v>
      </c>
      <c r="I18" s="75">
        <v>46197.79166666667</v>
      </c>
      <c r="J18" s="75" t="s">
        <v>37</v>
      </c>
    </row>
    <row r="19" spans="1:10" x14ac:dyDescent="0.25">
      <c r="A19" s="67">
        <v>17</v>
      </c>
      <c r="B19" s="68" t="s">
        <v>59</v>
      </c>
      <c r="C19" s="75" t="s">
        <v>33</v>
      </c>
      <c r="D19" s="68" t="s">
        <v>60</v>
      </c>
      <c r="E19" s="70" t="s">
        <v>35</v>
      </c>
      <c r="F19" s="71">
        <v>1</v>
      </c>
      <c r="G19" s="72" t="s">
        <v>4</v>
      </c>
      <c r="H19" s="73" t="s">
        <v>36</v>
      </c>
      <c r="I19" s="75" t="s">
        <v>37</v>
      </c>
      <c r="J19" s="75" t="s">
        <v>37</v>
      </c>
    </row>
    <row r="20" spans="1:10" x14ac:dyDescent="0.25">
      <c r="A20" s="67">
        <v>18</v>
      </c>
      <c r="B20" s="68" t="s">
        <v>59</v>
      </c>
      <c r="C20" s="75" t="s">
        <v>39</v>
      </c>
      <c r="D20" s="68" t="s">
        <v>61</v>
      </c>
      <c r="E20" s="70" t="s">
        <v>35</v>
      </c>
      <c r="F20" s="71">
        <v>1</v>
      </c>
      <c r="G20" s="72" t="s">
        <v>4</v>
      </c>
      <c r="H20" s="73" t="s">
        <v>36</v>
      </c>
      <c r="I20" s="75" t="s">
        <v>37</v>
      </c>
      <c r="J20" s="75" t="s">
        <v>37</v>
      </c>
    </row>
    <row r="21" ht="25.5" customHeight="1" spans="1:10" x14ac:dyDescent="0.25">
      <c r="A21" s="67">
        <v>19</v>
      </c>
      <c r="B21" s="68" t="s">
        <v>59</v>
      </c>
      <c r="C21" s="75" t="s">
        <v>39</v>
      </c>
      <c r="D21" s="68" t="s">
        <v>62</v>
      </c>
      <c r="E21" s="70" t="s">
        <v>41</v>
      </c>
      <c r="F21" s="71">
        <v>0</v>
      </c>
      <c r="G21" s="72" t="s">
        <v>6</v>
      </c>
      <c r="H21" s="73" t="s">
        <v>36</v>
      </c>
      <c r="I21" s="75" t="s">
        <v>37</v>
      </c>
      <c r="J21" s="75" t="s">
        <v>37</v>
      </c>
    </row>
    <row r="22" spans="1:10" x14ac:dyDescent="0.25">
      <c r="A22" s="67">
        <v>20</v>
      </c>
      <c r="B22" s="68" t="s">
        <v>59</v>
      </c>
      <c r="C22" s="75" t="s">
        <v>39</v>
      </c>
      <c r="D22" s="68" t="s">
        <v>63</v>
      </c>
      <c r="E22" s="70" t="s">
        <v>41</v>
      </c>
      <c r="F22" s="71">
        <v>0</v>
      </c>
      <c r="G22" s="72" t="s">
        <v>6</v>
      </c>
      <c r="H22" s="73" t="s">
        <v>36</v>
      </c>
      <c r="I22" s="75" t="s">
        <v>37</v>
      </c>
      <c r="J22" s="75" t="s">
        <v>37</v>
      </c>
    </row>
    <row r="23" spans="1:10" x14ac:dyDescent="0.25">
      <c r="A23" s="67">
        <v>21</v>
      </c>
      <c r="B23" s="68" t="s">
        <v>59</v>
      </c>
      <c r="C23" s="75" t="s">
        <v>33</v>
      </c>
      <c r="D23" s="68" t="s">
        <v>64</v>
      </c>
      <c r="E23" s="70" t="s">
        <v>35</v>
      </c>
      <c r="F23" s="71">
        <v>1</v>
      </c>
      <c r="G23" s="72" t="s">
        <v>4</v>
      </c>
      <c r="H23" s="73" t="s">
        <v>36</v>
      </c>
      <c r="I23" s="74" t="s">
        <v>37</v>
      </c>
      <c r="J23" s="75" t="s">
        <v>37</v>
      </c>
    </row>
    <row r="24" spans="1:10" x14ac:dyDescent="0.25">
      <c r="A24" s="67">
        <v>22</v>
      </c>
      <c r="B24" s="68" t="s">
        <v>65</v>
      </c>
      <c r="C24" s="75" t="s">
        <v>33</v>
      </c>
      <c r="D24" s="68" t="s">
        <v>66</v>
      </c>
      <c r="E24" s="70" t="s">
        <v>35</v>
      </c>
      <c r="F24" s="71">
        <v>0.8</v>
      </c>
      <c r="G24" s="72" t="s">
        <v>5</v>
      </c>
      <c r="H24" s="73" t="s">
        <v>36</v>
      </c>
      <c r="I24" s="75" t="s">
        <v>37</v>
      </c>
      <c r="J24" s="75" t="s">
        <v>67</v>
      </c>
    </row>
    <row r="25" spans="1:10" x14ac:dyDescent="0.25">
      <c r="A25" s="67">
        <v>23</v>
      </c>
      <c r="B25" s="68" t="s">
        <v>65</v>
      </c>
      <c r="C25" s="75" t="s">
        <v>33</v>
      </c>
      <c r="D25" s="68" t="s">
        <v>68</v>
      </c>
      <c r="E25" s="70" t="s">
        <v>35</v>
      </c>
      <c r="F25" s="71">
        <v>1</v>
      </c>
      <c r="G25" s="72" t="s">
        <v>4</v>
      </c>
      <c r="H25" s="73" t="s">
        <v>36</v>
      </c>
      <c r="I25" s="75" t="s">
        <v>37</v>
      </c>
      <c r="J25" s="75" t="s">
        <v>37</v>
      </c>
    </row>
    <row r="26" spans="1:10" x14ac:dyDescent="0.25">
      <c r="A26" s="67">
        <v>24</v>
      </c>
      <c r="B26" s="68" t="s">
        <v>65</v>
      </c>
      <c r="C26" s="75" t="s">
        <v>33</v>
      </c>
      <c r="D26" s="68" t="s">
        <v>69</v>
      </c>
      <c r="E26" s="70" t="s">
        <v>35</v>
      </c>
      <c r="F26" s="71">
        <v>0.7</v>
      </c>
      <c r="G26" s="72" t="s">
        <v>5</v>
      </c>
      <c r="H26" s="73" t="s">
        <v>36</v>
      </c>
      <c r="I26" s="74" t="s">
        <v>37</v>
      </c>
      <c r="J26" s="75" t="s">
        <v>37</v>
      </c>
    </row>
    <row r="27" spans="1:10" x14ac:dyDescent="0.25">
      <c r="A27" s="67">
        <v>25</v>
      </c>
      <c r="B27" s="68" t="s">
        <v>65</v>
      </c>
      <c r="C27" s="75" t="s">
        <v>39</v>
      </c>
      <c r="D27" s="68" t="s">
        <v>70</v>
      </c>
      <c r="E27" s="70" t="s">
        <v>35</v>
      </c>
      <c r="F27" s="71">
        <v>0</v>
      </c>
      <c r="G27" s="72" t="s">
        <v>6</v>
      </c>
      <c r="H27" s="73" t="s">
        <v>36</v>
      </c>
      <c r="I27" s="74" t="s">
        <v>37</v>
      </c>
      <c r="J27" s="75" t="s">
        <v>71</v>
      </c>
    </row>
    <row r="28" ht="25.5" customHeight="1" spans="1:10" x14ac:dyDescent="0.25">
      <c r="A28" s="67">
        <v>26</v>
      </c>
      <c r="B28" s="68" t="s">
        <v>65</v>
      </c>
      <c r="C28" s="75" t="s">
        <v>39</v>
      </c>
      <c r="D28" s="68" t="s">
        <v>72</v>
      </c>
      <c r="E28" s="70" t="s">
        <v>35</v>
      </c>
      <c r="F28" s="71">
        <v>1</v>
      </c>
      <c r="G28" s="72" t="s">
        <v>4</v>
      </c>
      <c r="H28" s="73" t="s">
        <v>36</v>
      </c>
      <c r="I28" s="75" t="s">
        <v>37</v>
      </c>
      <c r="J28" s="75" t="s">
        <v>73</v>
      </c>
    </row>
    <row r="29" spans="1:10" x14ac:dyDescent="0.25">
      <c r="A29" s="67">
        <v>27</v>
      </c>
      <c r="B29" s="68" t="s">
        <v>74</v>
      </c>
      <c r="C29" s="75" t="s">
        <v>39</v>
      </c>
      <c r="D29" s="68" t="s">
        <v>75</v>
      </c>
      <c r="E29" s="70" t="s">
        <v>41</v>
      </c>
      <c r="F29" s="71">
        <v>1</v>
      </c>
      <c r="G29" s="72" t="s">
        <v>4</v>
      </c>
      <c r="H29" s="73" t="s">
        <v>36</v>
      </c>
      <c r="I29" s="75" t="s">
        <v>37</v>
      </c>
      <c r="J29" s="75" t="s">
        <v>37</v>
      </c>
    </row>
    <row r="30" spans="1:10" x14ac:dyDescent="0.25">
      <c r="A30" s="67">
        <v>28</v>
      </c>
      <c r="B30" s="68" t="s">
        <v>74</v>
      </c>
      <c r="C30" s="75" t="s">
        <v>33</v>
      </c>
      <c r="D30" s="68" t="s">
        <v>76</v>
      </c>
      <c r="E30" s="70" t="s">
        <v>41</v>
      </c>
      <c r="F30" s="71">
        <v>0</v>
      </c>
      <c r="G30" s="72" t="s">
        <v>6</v>
      </c>
      <c r="H30" s="73" t="s">
        <v>36</v>
      </c>
      <c r="I30" s="75" t="s">
        <v>37</v>
      </c>
      <c r="J30" s="75" t="s">
        <v>37</v>
      </c>
    </row>
    <row r="31" spans="1:10" x14ac:dyDescent="0.25">
      <c r="A31" s="67">
        <v>29</v>
      </c>
      <c r="B31" s="68" t="s">
        <v>77</v>
      </c>
      <c r="C31" s="75" t="s">
        <v>77</v>
      </c>
      <c r="D31" s="68" t="s">
        <v>78</v>
      </c>
      <c r="E31" s="70" t="s">
        <v>41</v>
      </c>
      <c r="F31" s="71">
        <v>0.1</v>
      </c>
      <c r="G31" s="72" t="s">
        <v>5</v>
      </c>
      <c r="H31" s="73" t="s">
        <v>49</v>
      </c>
      <c r="I31" s="75" t="s">
        <v>37</v>
      </c>
      <c r="J31" s="75" t="s">
        <v>37</v>
      </c>
    </row>
    <row r="32" ht="25.5" customHeight="1" spans="1:10" x14ac:dyDescent="0.25">
      <c r="A32" s="67">
        <v>30</v>
      </c>
      <c r="B32" s="68" t="s">
        <v>77</v>
      </c>
      <c r="C32" s="75" t="s">
        <v>77</v>
      </c>
      <c r="D32" s="68" t="s">
        <v>79</v>
      </c>
      <c r="E32" s="70" t="s">
        <v>41</v>
      </c>
      <c r="F32" s="71">
        <v>0.1</v>
      </c>
      <c r="G32" s="72" t="s">
        <v>5</v>
      </c>
      <c r="H32" s="73" t="s">
        <v>49</v>
      </c>
      <c r="I32" s="75" t="s">
        <v>37</v>
      </c>
      <c r="J32" s="75" t="s">
        <v>37</v>
      </c>
    </row>
    <row r="33" spans="1:10" x14ac:dyDescent="0.25">
      <c r="A33" s="67">
        <v>31</v>
      </c>
      <c r="B33" s="68" t="s">
        <v>77</v>
      </c>
      <c r="C33" s="75" t="s">
        <v>39</v>
      </c>
      <c r="D33" s="68" t="s">
        <v>80</v>
      </c>
      <c r="E33" s="70" t="s">
        <v>41</v>
      </c>
      <c r="F33" s="71">
        <v>1</v>
      </c>
      <c r="G33" s="72" t="s">
        <v>4</v>
      </c>
      <c r="H33" s="73" t="s">
        <v>49</v>
      </c>
      <c r="I33" s="74" t="s">
        <v>37</v>
      </c>
      <c r="J33" s="75" t="s">
        <v>37</v>
      </c>
    </row>
    <row r="34" spans="1:10" x14ac:dyDescent="0.25">
      <c r="A34" s="67">
        <v>32</v>
      </c>
      <c r="B34" s="68" t="s">
        <v>77</v>
      </c>
      <c r="C34" s="75" t="s">
        <v>39</v>
      </c>
      <c r="D34" s="68" t="s">
        <v>81</v>
      </c>
      <c r="E34" s="70" t="s">
        <v>41</v>
      </c>
      <c r="F34" s="71">
        <v>0.8</v>
      </c>
      <c r="G34" s="72" t="s">
        <v>5</v>
      </c>
      <c r="H34" s="73" t="s">
        <v>36</v>
      </c>
      <c r="I34" s="75" t="s">
        <v>37</v>
      </c>
      <c r="J34" s="75" t="s">
        <v>37</v>
      </c>
    </row>
    <row r="35" spans="1:10" x14ac:dyDescent="0.25">
      <c r="A35" s="67">
        <v>33</v>
      </c>
      <c r="B35" s="68" t="s">
        <v>77</v>
      </c>
      <c r="C35" s="75" t="s">
        <v>77</v>
      </c>
      <c r="D35" s="68" t="s">
        <v>82</v>
      </c>
      <c r="E35" s="70" t="s">
        <v>41</v>
      </c>
      <c r="F35" s="71">
        <v>0.8</v>
      </c>
      <c r="G35" s="72" t="s">
        <v>5</v>
      </c>
      <c r="H35" s="73" t="s">
        <v>49</v>
      </c>
      <c r="I35" s="75" t="s">
        <v>37</v>
      </c>
      <c r="J35" s="75" t="s">
        <v>37</v>
      </c>
    </row>
    <row r="36" spans="1:10" x14ac:dyDescent="0.25">
      <c r="A36" s="67">
        <v>34</v>
      </c>
      <c r="B36" s="68" t="s">
        <v>77</v>
      </c>
      <c r="C36" s="75" t="s">
        <v>39</v>
      </c>
      <c r="D36" s="68" t="s">
        <v>83</v>
      </c>
      <c r="E36" s="70" t="s">
        <v>41</v>
      </c>
      <c r="F36" s="71">
        <v>1</v>
      </c>
      <c r="G36" s="72" t="s">
        <v>4</v>
      </c>
      <c r="H36" s="73" t="s">
        <v>49</v>
      </c>
      <c r="I36" s="75" t="s">
        <v>37</v>
      </c>
      <c r="J36" s="75" t="s">
        <v>37</v>
      </c>
    </row>
    <row r="37" spans="1:10" x14ac:dyDescent="0.25">
      <c r="A37" s="67">
        <v>35</v>
      </c>
      <c r="B37" s="68" t="s">
        <v>77</v>
      </c>
      <c r="C37" s="75" t="s">
        <v>39</v>
      </c>
      <c r="D37" s="68" t="s">
        <v>84</v>
      </c>
      <c r="E37" s="70" t="s">
        <v>41</v>
      </c>
      <c r="F37" s="71">
        <v>0</v>
      </c>
      <c r="G37" s="73" t="s">
        <v>8</v>
      </c>
      <c r="H37" s="73" t="s">
        <v>49</v>
      </c>
      <c r="I37" s="75" t="s">
        <v>37</v>
      </c>
      <c r="J37" s="75" t="s">
        <v>37</v>
      </c>
    </row>
    <row r="38" spans="1:10" x14ac:dyDescent="0.25">
      <c r="A38" s="67">
        <v>36</v>
      </c>
      <c r="B38" s="68" t="s">
        <v>77</v>
      </c>
      <c r="C38" s="75" t="s">
        <v>39</v>
      </c>
      <c r="D38" s="68" t="s">
        <v>85</v>
      </c>
      <c r="E38" s="70" t="s">
        <v>41</v>
      </c>
      <c r="F38" s="71">
        <v>0</v>
      </c>
      <c r="G38" s="72" t="s">
        <v>6</v>
      </c>
      <c r="H38" s="73" t="s">
        <v>49</v>
      </c>
      <c r="I38" s="75" t="s">
        <v>37</v>
      </c>
      <c r="J38" s="75" t="s">
        <v>37</v>
      </c>
    </row>
    <row r="39" spans="1:10" x14ac:dyDescent="0.25">
      <c r="A39" s="67">
        <v>37</v>
      </c>
      <c r="B39" s="68" t="s">
        <v>77</v>
      </c>
      <c r="C39" s="75" t="s">
        <v>33</v>
      </c>
      <c r="D39" s="68" t="s">
        <v>86</v>
      </c>
      <c r="E39" s="70" t="s">
        <v>41</v>
      </c>
      <c r="F39" s="71">
        <v>0</v>
      </c>
      <c r="G39" s="72" t="s">
        <v>6</v>
      </c>
      <c r="H39" s="73" t="s">
        <v>49</v>
      </c>
      <c r="I39" s="75" t="s">
        <v>37</v>
      </c>
      <c r="J39" s="75" t="s">
        <v>37</v>
      </c>
    </row>
    <row r="40" spans="1:10" x14ac:dyDescent="0.25">
      <c r="A40" s="67">
        <v>38</v>
      </c>
      <c r="B40" s="68" t="s">
        <v>77</v>
      </c>
      <c r="C40" s="75" t="s">
        <v>77</v>
      </c>
      <c r="D40" s="68" t="s">
        <v>87</v>
      </c>
      <c r="E40" s="70" t="s">
        <v>41</v>
      </c>
      <c r="F40" s="71">
        <v>0.1</v>
      </c>
      <c r="G40" s="72" t="s">
        <v>5</v>
      </c>
      <c r="H40" s="73" t="s">
        <v>49</v>
      </c>
      <c r="I40" s="75" t="s">
        <v>37</v>
      </c>
      <c r="J40" s="75" t="s">
        <v>37</v>
      </c>
    </row>
    <row r="41" spans="1:10" x14ac:dyDescent="0.25">
      <c r="A41" s="67">
        <v>39</v>
      </c>
      <c r="B41" s="68" t="s">
        <v>77</v>
      </c>
      <c r="C41" s="75" t="s">
        <v>77</v>
      </c>
      <c r="D41" s="68" t="s">
        <v>88</v>
      </c>
      <c r="E41" s="70" t="s">
        <v>41</v>
      </c>
      <c r="F41" s="71">
        <v>1</v>
      </c>
      <c r="G41" s="72" t="s">
        <v>4</v>
      </c>
      <c r="H41" s="73" t="s">
        <v>49</v>
      </c>
      <c r="I41" s="75" t="s">
        <v>37</v>
      </c>
      <c r="J41" s="75" t="s">
        <v>37</v>
      </c>
    </row>
    <row r="42" spans="1:10" x14ac:dyDescent="0.25">
      <c r="A42" s="67">
        <v>40</v>
      </c>
      <c r="B42" s="68" t="s">
        <v>77</v>
      </c>
      <c r="C42" s="75" t="s">
        <v>77</v>
      </c>
      <c r="D42" s="68" t="s">
        <v>89</v>
      </c>
      <c r="E42" s="70" t="s">
        <v>41</v>
      </c>
      <c r="F42" s="71">
        <v>0</v>
      </c>
      <c r="G42" s="72" t="s">
        <v>8</v>
      </c>
      <c r="H42" s="73" t="s">
        <v>49</v>
      </c>
      <c r="I42" s="75" t="s">
        <v>37</v>
      </c>
      <c r="J42" s="75" t="s">
        <v>37</v>
      </c>
    </row>
    <row r="43" spans="1:10" x14ac:dyDescent="0.25">
      <c r="A43" s="67">
        <v>41</v>
      </c>
      <c r="B43" s="68" t="s">
        <v>77</v>
      </c>
      <c r="C43" s="75" t="s">
        <v>77</v>
      </c>
      <c r="D43" s="68" t="s">
        <v>90</v>
      </c>
      <c r="E43" s="70" t="s">
        <v>41</v>
      </c>
      <c r="F43" s="71">
        <v>1</v>
      </c>
      <c r="G43" s="72" t="s">
        <v>4</v>
      </c>
      <c r="H43" s="73" t="s">
        <v>49</v>
      </c>
      <c r="I43" s="75" t="s">
        <v>37</v>
      </c>
      <c r="J43" s="75" t="s">
        <v>37</v>
      </c>
    </row>
    <row r="44" spans="1:10" x14ac:dyDescent="0.25">
      <c r="A44" s="67">
        <v>42</v>
      </c>
      <c r="B44" s="68" t="s">
        <v>77</v>
      </c>
      <c r="C44" s="75" t="s">
        <v>77</v>
      </c>
      <c r="D44" s="68" t="s">
        <v>91</v>
      </c>
      <c r="E44" s="70" t="s">
        <v>41</v>
      </c>
      <c r="F44" s="71">
        <v>1</v>
      </c>
      <c r="G44" s="72" t="s">
        <v>4</v>
      </c>
      <c r="H44" s="73" t="s">
        <v>49</v>
      </c>
      <c r="I44" s="75" t="s">
        <v>37</v>
      </c>
      <c r="J44" s="75" t="s">
        <v>37</v>
      </c>
    </row>
    <row r="45" spans="1:10" x14ac:dyDescent="0.25">
      <c r="A45" s="67">
        <v>43</v>
      </c>
      <c r="B45" s="68" t="s">
        <v>77</v>
      </c>
      <c r="C45" s="75" t="s">
        <v>33</v>
      </c>
      <c r="D45" s="68" t="s">
        <v>92</v>
      </c>
      <c r="E45" s="70" t="s">
        <v>35</v>
      </c>
      <c r="F45" s="71">
        <v>0</v>
      </c>
      <c r="G45" s="72" t="s">
        <v>6</v>
      </c>
      <c r="H45" s="73" t="s">
        <v>49</v>
      </c>
      <c r="I45" s="74" t="s">
        <v>37</v>
      </c>
      <c r="J45" s="75" t="s">
        <v>93</v>
      </c>
    </row>
    <row r="46" spans="1:10" x14ac:dyDescent="0.25">
      <c r="A46" s="67">
        <v>44</v>
      </c>
      <c r="B46" s="68" t="s">
        <v>77</v>
      </c>
      <c r="C46" s="75" t="s">
        <v>33</v>
      </c>
      <c r="D46" s="68" t="s">
        <v>94</v>
      </c>
      <c r="E46" s="70" t="s">
        <v>35</v>
      </c>
      <c r="F46" s="71">
        <v>0.9</v>
      </c>
      <c r="G46" s="72" t="s">
        <v>5</v>
      </c>
      <c r="H46" s="73" t="s">
        <v>49</v>
      </c>
      <c r="I46" s="74" t="s">
        <v>37</v>
      </c>
      <c r="J46" s="69" t="s">
        <v>95</v>
      </c>
    </row>
    <row r="47" spans="1:10" x14ac:dyDescent="0.25">
      <c r="A47" s="67">
        <v>45</v>
      </c>
      <c r="B47" s="68" t="s">
        <v>77</v>
      </c>
      <c r="C47" s="75" t="s">
        <v>39</v>
      </c>
      <c r="D47" s="68" t="s">
        <v>96</v>
      </c>
      <c r="E47" s="70" t="s">
        <v>41</v>
      </c>
      <c r="F47" s="71">
        <v>1</v>
      </c>
      <c r="G47" s="72" t="s">
        <v>4</v>
      </c>
      <c r="H47" s="73" t="s">
        <v>49</v>
      </c>
      <c r="I47" s="74" t="s">
        <v>37</v>
      </c>
      <c r="J47" s="75" t="s">
        <v>97</v>
      </c>
    </row>
    <row r="48" spans="1:10" x14ac:dyDescent="0.25">
      <c r="A48" s="67">
        <v>46</v>
      </c>
      <c r="B48" s="68" t="s">
        <v>98</v>
      </c>
      <c r="C48" s="75" t="s">
        <v>33</v>
      </c>
      <c r="D48" s="68" t="s">
        <v>99</v>
      </c>
      <c r="E48" s="70" t="s">
        <v>35</v>
      </c>
      <c r="F48" s="71">
        <v>1</v>
      </c>
      <c r="G48" s="72" t="s">
        <v>4</v>
      </c>
      <c r="H48" s="73" t="s">
        <v>36</v>
      </c>
      <c r="I48" s="74">
        <v>46156.79166666667</v>
      </c>
      <c r="J48" s="75" t="s">
        <v>37</v>
      </c>
    </row>
    <row r="49" spans="1:10" x14ac:dyDescent="0.25">
      <c r="A49" s="67">
        <v>47</v>
      </c>
      <c r="B49" s="68" t="s">
        <v>98</v>
      </c>
      <c r="C49" s="75" t="s">
        <v>33</v>
      </c>
      <c r="D49" s="68" t="s">
        <v>100</v>
      </c>
      <c r="E49" s="70" t="s">
        <v>35</v>
      </c>
      <c r="F49" s="71">
        <v>1</v>
      </c>
      <c r="G49" s="72" t="s">
        <v>4</v>
      </c>
      <c r="H49" s="73" t="s">
        <v>36</v>
      </c>
      <c r="I49" s="74">
        <v>46182.79166666667</v>
      </c>
      <c r="J49" s="75" t="s">
        <v>37</v>
      </c>
    </row>
    <row r="50" spans="1:10" x14ac:dyDescent="0.25">
      <c r="A50" s="67">
        <v>48</v>
      </c>
      <c r="B50" s="68" t="s">
        <v>98</v>
      </c>
      <c r="C50" s="75" t="s">
        <v>39</v>
      </c>
      <c r="D50" s="68" t="s">
        <v>101</v>
      </c>
      <c r="E50" s="70" t="s">
        <v>35</v>
      </c>
      <c r="F50" s="71">
        <v>1</v>
      </c>
      <c r="G50" s="72" t="s">
        <v>4</v>
      </c>
      <c r="H50" s="73" t="s">
        <v>49</v>
      </c>
      <c r="I50" s="74">
        <v>46182.79166666667</v>
      </c>
      <c r="J50" s="75" t="s">
        <v>37</v>
      </c>
    </row>
    <row r="51" spans="1:10" x14ac:dyDescent="0.25">
      <c r="A51" s="67">
        <v>49</v>
      </c>
      <c r="B51" s="68" t="s">
        <v>98</v>
      </c>
      <c r="C51" s="75" t="s">
        <v>39</v>
      </c>
      <c r="D51" s="68" t="s">
        <v>102</v>
      </c>
      <c r="E51" s="70" t="s">
        <v>35</v>
      </c>
      <c r="F51" s="71">
        <v>1</v>
      </c>
      <c r="G51" s="73" t="s">
        <v>4</v>
      </c>
      <c r="H51" s="73" t="s">
        <v>49</v>
      </c>
      <c r="I51" s="74">
        <v>46182.79166666667</v>
      </c>
      <c r="J51" s="75" t="s">
        <v>37</v>
      </c>
    </row>
    <row r="52" spans="1:10" x14ac:dyDescent="0.25">
      <c r="A52" s="67">
        <v>50</v>
      </c>
      <c r="B52" s="68" t="s">
        <v>98</v>
      </c>
      <c r="C52" s="75" t="s">
        <v>39</v>
      </c>
      <c r="D52" s="68" t="s">
        <v>103</v>
      </c>
      <c r="E52" s="70" t="s">
        <v>41</v>
      </c>
      <c r="F52" s="71">
        <v>1</v>
      </c>
      <c r="G52" s="72" t="s">
        <v>4</v>
      </c>
      <c r="H52" s="73" t="s">
        <v>49</v>
      </c>
      <c r="I52" s="74">
        <v>46182.79166666667</v>
      </c>
      <c r="J52" s="75" t="s">
        <v>37</v>
      </c>
    </row>
    <row r="53" spans="1:10" x14ac:dyDescent="0.25">
      <c r="A53" s="67">
        <v>51</v>
      </c>
      <c r="B53" s="68" t="s">
        <v>98</v>
      </c>
      <c r="C53" s="75" t="s">
        <v>39</v>
      </c>
      <c r="D53" s="68" t="s">
        <v>104</v>
      </c>
      <c r="E53" s="70" t="s">
        <v>41</v>
      </c>
      <c r="F53" s="71">
        <v>1</v>
      </c>
      <c r="G53" s="72" t="s">
        <v>4</v>
      </c>
      <c r="H53" s="73" t="s">
        <v>49</v>
      </c>
      <c r="I53" s="74">
        <v>46182.79166666667</v>
      </c>
      <c r="J53" s="75" t="s">
        <v>37</v>
      </c>
    </row>
    <row r="54" spans="1:10" x14ac:dyDescent="0.25">
      <c r="A54" s="67">
        <v>52</v>
      </c>
      <c r="B54" s="68" t="s">
        <v>98</v>
      </c>
      <c r="C54" s="75" t="s">
        <v>39</v>
      </c>
      <c r="D54" s="68" t="s">
        <v>34</v>
      </c>
      <c r="E54" s="70" t="s">
        <v>41</v>
      </c>
      <c r="F54" s="71">
        <v>1</v>
      </c>
      <c r="G54" s="72" t="s">
        <v>4</v>
      </c>
      <c r="H54" s="73" t="s">
        <v>36</v>
      </c>
      <c r="I54" s="74">
        <v>46182.79166666667</v>
      </c>
      <c r="J54" s="75" t="s">
        <v>37</v>
      </c>
    </row>
    <row r="55" spans="1:10" x14ac:dyDescent="0.25">
      <c r="A55" s="67">
        <v>53</v>
      </c>
      <c r="B55" s="68" t="s">
        <v>98</v>
      </c>
      <c r="C55" s="75" t="s">
        <v>39</v>
      </c>
      <c r="D55" s="68" t="s">
        <v>52</v>
      </c>
      <c r="E55" s="70" t="s">
        <v>41</v>
      </c>
      <c r="F55" s="71">
        <v>1</v>
      </c>
      <c r="G55" s="72" t="s">
        <v>4</v>
      </c>
      <c r="H55" s="73" t="s">
        <v>49</v>
      </c>
      <c r="I55" s="74">
        <v>46182.79166666667</v>
      </c>
      <c r="J55" s="75" t="s">
        <v>37</v>
      </c>
    </row>
    <row r="56" spans="1:10" x14ac:dyDescent="0.25">
      <c r="A56" s="67">
        <v>54</v>
      </c>
      <c r="B56" s="68" t="s">
        <v>98</v>
      </c>
      <c r="C56" s="75" t="s">
        <v>39</v>
      </c>
      <c r="D56" s="68" t="s">
        <v>105</v>
      </c>
      <c r="E56" s="70" t="s">
        <v>41</v>
      </c>
      <c r="F56" s="71">
        <v>1</v>
      </c>
      <c r="G56" s="72" t="s">
        <v>4</v>
      </c>
      <c r="H56" s="73" t="s">
        <v>49</v>
      </c>
      <c r="I56" s="74">
        <v>46182.79166666667</v>
      </c>
      <c r="J56" s="75" t="s">
        <v>37</v>
      </c>
    </row>
    <row r="57" ht="25.5" customHeight="1" spans="1:10" x14ac:dyDescent="0.25">
      <c r="A57" s="67">
        <v>55</v>
      </c>
      <c r="B57" s="68" t="s">
        <v>98</v>
      </c>
      <c r="C57" s="75" t="s">
        <v>39</v>
      </c>
      <c r="D57" s="68" t="s">
        <v>106</v>
      </c>
      <c r="E57" s="70" t="s">
        <v>35</v>
      </c>
      <c r="F57" s="71">
        <v>1</v>
      </c>
      <c r="G57" s="72" t="s">
        <v>4</v>
      </c>
      <c r="H57" s="73" t="s">
        <v>36</v>
      </c>
      <c r="I57" s="74">
        <v>46187.79166666667</v>
      </c>
      <c r="J57" s="75" t="s">
        <v>37</v>
      </c>
    </row>
    <row r="58" spans="1:10" x14ac:dyDescent="0.25">
      <c r="A58" s="67">
        <v>56</v>
      </c>
      <c r="B58" s="68" t="s">
        <v>98</v>
      </c>
      <c r="C58" s="75" t="s">
        <v>39</v>
      </c>
      <c r="D58" s="68" t="s">
        <v>107</v>
      </c>
      <c r="E58" s="70" t="s">
        <v>41</v>
      </c>
      <c r="F58" s="71">
        <v>1</v>
      </c>
      <c r="G58" s="72" t="s">
        <v>4</v>
      </c>
      <c r="H58" s="73" t="s">
        <v>49</v>
      </c>
      <c r="I58" s="74">
        <v>46187.79166666667</v>
      </c>
      <c r="J58" s="75" t="s">
        <v>37</v>
      </c>
    </row>
    <row r="59" spans="1:10" x14ac:dyDescent="0.25">
      <c r="A59" s="67">
        <v>57</v>
      </c>
      <c r="B59" s="68" t="s">
        <v>98</v>
      </c>
      <c r="C59" s="75" t="s">
        <v>39</v>
      </c>
      <c r="D59" s="68" t="s">
        <v>108</v>
      </c>
      <c r="E59" s="70" t="s">
        <v>41</v>
      </c>
      <c r="F59" s="71">
        <v>1</v>
      </c>
      <c r="G59" s="72" t="s">
        <v>4</v>
      </c>
      <c r="H59" s="73" t="s">
        <v>36</v>
      </c>
      <c r="I59" s="74">
        <v>46187.79166666667</v>
      </c>
      <c r="J59" s="75" t="s">
        <v>37</v>
      </c>
    </row>
    <row r="60" spans="1:10" x14ac:dyDescent="0.25">
      <c r="A60" s="67">
        <v>58</v>
      </c>
      <c r="B60" s="68" t="s">
        <v>98</v>
      </c>
      <c r="C60" s="75" t="s">
        <v>39</v>
      </c>
      <c r="D60" s="68" t="s">
        <v>109</v>
      </c>
      <c r="E60" s="70" t="s">
        <v>41</v>
      </c>
      <c r="F60" s="71">
        <v>1</v>
      </c>
      <c r="G60" s="72" t="s">
        <v>4</v>
      </c>
      <c r="H60" s="73" t="s">
        <v>49</v>
      </c>
      <c r="I60" s="74">
        <v>46187.79166666667</v>
      </c>
      <c r="J60" s="75" t="s">
        <v>37</v>
      </c>
    </row>
    <row r="61" spans="1:10" x14ac:dyDescent="0.25">
      <c r="A61" s="67">
        <v>59</v>
      </c>
      <c r="B61" s="68" t="s">
        <v>98</v>
      </c>
      <c r="C61" s="75" t="s">
        <v>39</v>
      </c>
      <c r="D61" s="68" t="s">
        <v>110</v>
      </c>
      <c r="E61" s="70" t="s">
        <v>41</v>
      </c>
      <c r="F61" s="71">
        <v>1</v>
      </c>
      <c r="G61" s="72" t="s">
        <v>4</v>
      </c>
      <c r="H61" s="73" t="s">
        <v>49</v>
      </c>
      <c r="I61" s="74">
        <v>46187.79166666667</v>
      </c>
      <c r="J61" s="75" t="s">
        <v>37</v>
      </c>
    </row>
    <row r="62" ht="25.5" customHeight="1" spans="1:10" x14ac:dyDescent="0.25">
      <c r="A62" s="67">
        <v>60</v>
      </c>
      <c r="B62" s="68" t="s">
        <v>98</v>
      </c>
      <c r="C62" s="75" t="s">
        <v>39</v>
      </c>
      <c r="D62" s="68" t="s">
        <v>111</v>
      </c>
      <c r="E62" s="70" t="s">
        <v>41</v>
      </c>
      <c r="F62" s="71">
        <v>1</v>
      </c>
      <c r="G62" s="72" t="s">
        <v>4</v>
      </c>
      <c r="H62" s="73" t="s">
        <v>49</v>
      </c>
      <c r="I62" s="75">
        <v>46187.79166666667</v>
      </c>
      <c r="J62" s="75" t="s">
        <v>37</v>
      </c>
    </row>
    <row r="63" ht="25.5" customHeight="1" spans="1:10" x14ac:dyDescent="0.25">
      <c r="A63" s="67">
        <v>61</v>
      </c>
      <c r="B63" s="68" t="s">
        <v>98</v>
      </c>
      <c r="C63" s="75" t="s">
        <v>33</v>
      </c>
      <c r="D63" s="68" t="s">
        <v>112</v>
      </c>
      <c r="E63" s="70" t="s">
        <v>41</v>
      </c>
      <c r="F63" s="71">
        <v>1</v>
      </c>
      <c r="G63" s="72" t="s">
        <v>4</v>
      </c>
      <c r="H63" s="73" t="s">
        <v>36</v>
      </c>
      <c r="I63" s="75">
        <v>46187.79166666667</v>
      </c>
      <c r="J63" s="75" t="s">
        <v>37</v>
      </c>
    </row>
    <row r="64" spans="1:10" x14ac:dyDescent="0.25">
      <c r="A64" s="67">
        <v>62</v>
      </c>
      <c r="B64" s="68" t="s">
        <v>98</v>
      </c>
      <c r="C64" s="75" t="s">
        <v>39</v>
      </c>
      <c r="D64" s="68" t="s">
        <v>113</v>
      </c>
      <c r="E64" s="70" t="s">
        <v>41</v>
      </c>
      <c r="F64" s="71">
        <v>1</v>
      </c>
      <c r="G64" s="72" t="s">
        <v>4</v>
      </c>
      <c r="H64" s="73" t="s">
        <v>36</v>
      </c>
      <c r="I64" s="75">
        <v>46187.79166666667</v>
      </c>
      <c r="J64" s="75" t="s">
        <v>37</v>
      </c>
    </row>
    <row r="65" ht="25.5" customHeight="1" spans="1:10" x14ac:dyDescent="0.25">
      <c r="A65" s="67">
        <v>63</v>
      </c>
      <c r="B65" s="68" t="s">
        <v>114</v>
      </c>
      <c r="C65" s="75" t="s">
        <v>39</v>
      </c>
      <c r="D65" s="68" t="s">
        <v>115</v>
      </c>
      <c r="E65" s="70" t="s">
        <v>41</v>
      </c>
      <c r="F65" s="71">
        <v>0.8</v>
      </c>
      <c r="G65" s="72" t="s">
        <v>5</v>
      </c>
      <c r="H65" s="73" t="s">
        <v>36</v>
      </c>
      <c r="I65" s="75">
        <v>46187.79166666667</v>
      </c>
      <c r="J65" s="75" t="s">
        <v>37</v>
      </c>
    </row>
    <row r="66" spans="1:10" x14ac:dyDescent="0.25">
      <c r="A66" s="67">
        <v>64</v>
      </c>
      <c r="B66" s="68" t="s">
        <v>114</v>
      </c>
      <c r="C66" s="75" t="s">
        <v>33</v>
      </c>
      <c r="D66" s="68" t="s">
        <v>116</v>
      </c>
      <c r="E66" s="70" t="s">
        <v>41</v>
      </c>
      <c r="F66" s="71">
        <v>0</v>
      </c>
      <c r="G66" s="72" t="s">
        <v>6</v>
      </c>
      <c r="H66" s="73" t="s">
        <v>36</v>
      </c>
      <c r="I66" s="75">
        <v>46187.79166666667</v>
      </c>
      <c r="J66" s="75" t="s">
        <v>37</v>
      </c>
    </row>
    <row r="67" spans="1:10" x14ac:dyDescent="0.25">
      <c r="A67" s="67">
        <v>65</v>
      </c>
      <c r="B67" s="68" t="s">
        <v>114</v>
      </c>
      <c r="C67" s="75" t="s">
        <v>39</v>
      </c>
      <c r="D67" s="68" t="s">
        <v>117</v>
      </c>
      <c r="E67" s="70" t="s">
        <v>41</v>
      </c>
      <c r="F67" s="71">
        <v>0</v>
      </c>
      <c r="G67" s="72" t="s">
        <v>6</v>
      </c>
      <c r="H67" s="73" t="s">
        <v>36</v>
      </c>
      <c r="I67" s="75">
        <v>46187.79166666667</v>
      </c>
      <c r="J67" s="75" t="s">
        <v>37</v>
      </c>
    </row>
    <row r="68" spans="1:10" x14ac:dyDescent="0.25">
      <c r="A68" s="67">
        <v>66</v>
      </c>
      <c r="B68" s="68" t="s">
        <v>118</v>
      </c>
      <c r="C68" s="75" t="s">
        <v>39</v>
      </c>
      <c r="D68" s="68" t="s">
        <v>44</v>
      </c>
      <c r="E68" s="70" t="s">
        <v>45</v>
      </c>
      <c r="F68" s="71">
        <v>0</v>
      </c>
      <c r="G68" s="72" t="s">
        <v>6</v>
      </c>
      <c r="H68" s="73" t="s">
        <v>36</v>
      </c>
      <c r="I68" s="75" t="s">
        <v>37</v>
      </c>
      <c r="J68" s="75" t="s">
        <v>37</v>
      </c>
    </row>
    <row r="69" spans="1:10" x14ac:dyDescent="0.25">
      <c r="A69" s="67">
        <v>67</v>
      </c>
      <c r="B69" s="68" t="s">
        <v>118</v>
      </c>
      <c r="C69" s="75" t="s">
        <v>33</v>
      </c>
      <c r="D69" s="68" t="s">
        <v>46</v>
      </c>
      <c r="E69" s="70" t="s">
        <v>45</v>
      </c>
      <c r="F69" s="71">
        <v>0</v>
      </c>
      <c r="G69" s="72" t="s">
        <v>6</v>
      </c>
      <c r="H69" s="73" t="s">
        <v>36</v>
      </c>
      <c r="I69" s="75" t="s">
        <v>37</v>
      </c>
      <c r="J69" s="75" t="s">
        <v>37</v>
      </c>
    </row>
    <row r="70" spans="1:10" x14ac:dyDescent="0.25">
      <c r="A70" s="67">
        <v>68</v>
      </c>
      <c r="B70" s="68" t="s">
        <v>119</v>
      </c>
      <c r="C70" s="75" t="s">
        <v>39</v>
      </c>
      <c r="D70" s="68" t="s">
        <v>120</v>
      </c>
      <c r="E70" s="70" t="s">
        <v>41</v>
      </c>
      <c r="F70" s="71">
        <v>0</v>
      </c>
      <c r="G70" s="72" t="s">
        <v>6</v>
      </c>
      <c r="H70" s="73" t="s">
        <v>36</v>
      </c>
      <c r="I70" s="75" t="s">
        <v>37</v>
      </c>
      <c r="J70" s="75" t="s">
        <v>37</v>
      </c>
    </row>
    <row r="71" spans="1:10" x14ac:dyDescent="0.25">
      <c r="A71" s="67">
        <v>69</v>
      </c>
      <c r="B71" s="68" t="s">
        <v>119</v>
      </c>
      <c r="C71" s="75" t="s">
        <v>39</v>
      </c>
      <c r="D71" s="68" t="s">
        <v>121</v>
      </c>
      <c r="E71" s="70" t="s">
        <v>41</v>
      </c>
      <c r="F71" s="71">
        <v>0</v>
      </c>
      <c r="G71" s="72" t="s">
        <v>6</v>
      </c>
      <c r="H71" s="73" t="s">
        <v>36</v>
      </c>
      <c r="I71" s="75" t="s">
        <v>37</v>
      </c>
      <c r="J71" s="75" t="s">
        <v>37</v>
      </c>
    </row>
    <row r="72" ht="25.5" customHeight="1" spans="1:10" x14ac:dyDescent="0.25">
      <c r="A72" s="67">
        <v>70</v>
      </c>
      <c r="B72" s="68" t="s">
        <v>119</v>
      </c>
      <c r="C72" s="75" t="s">
        <v>39</v>
      </c>
      <c r="D72" s="68" t="s">
        <v>122</v>
      </c>
      <c r="E72" s="70" t="s">
        <v>41</v>
      </c>
      <c r="F72" s="71">
        <v>0</v>
      </c>
      <c r="G72" s="72" t="s">
        <v>6</v>
      </c>
      <c r="H72" s="73" t="s">
        <v>36</v>
      </c>
      <c r="I72" s="74" t="s">
        <v>37</v>
      </c>
      <c r="J72" s="75" t="s">
        <v>37</v>
      </c>
    </row>
    <row r="73" spans="1:10" x14ac:dyDescent="0.25">
      <c r="A73" s="67">
        <v>71</v>
      </c>
      <c r="B73" s="68" t="s">
        <v>119</v>
      </c>
      <c r="C73" s="75" t="s">
        <v>39</v>
      </c>
      <c r="D73" s="68" t="s">
        <v>123</v>
      </c>
      <c r="E73" s="70" t="s">
        <v>41</v>
      </c>
      <c r="F73" s="71">
        <v>0</v>
      </c>
      <c r="G73" s="72" t="s">
        <v>6</v>
      </c>
      <c r="H73" s="73" t="s">
        <v>36</v>
      </c>
      <c r="I73" s="75" t="s">
        <v>37</v>
      </c>
      <c r="J73" s="75" t="s">
        <v>37</v>
      </c>
    </row>
    <row r="74" spans="1:10" x14ac:dyDescent="0.25">
      <c r="A74" s="67">
        <v>72</v>
      </c>
      <c r="B74" s="68" t="s">
        <v>119</v>
      </c>
      <c r="C74" s="75" t="s">
        <v>39</v>
      </c>
      <c r="D74" s="68" t="s">
        <v>124</v>
      </c>
      <c r="E74" s="70" t="s">
        <v>35</v>
      </c>
      <c r="F74" s="71">
        <v>0.5</v>
      </c>
      <c r="G74" s="72" t="s">
        <v>5</v>
      </c>
      <c r="H74" s="73" t="s">
        <v>36</v>
      </c>
      <c r="I74" s="75" t="s">
        <v>37</v>
      </c>
      <c r="J74" s="75" t="s">
        <v>37</v>
      </c>
    </row>
    <row r="75" ht="25.5" customHeight="1" spans="1:10" x14ac:dyDescent="0.25">
      <c r="A75" s="67">
        <v>73</v>
      </c>
      <c r="B75" s="68" t="s">
        <v>119</v>
      </c>
      <c r="C75" s="75" t="s">
        <v>33</v>
      </c>
      <c r="D75" s="68" t="s">
        <v>125</v>
      </c>
      <c r="E75" s="70" t="s">
        <v>35</v>
      </c>
      <c r="F75" s="71">
        <v>1</v>
      </c>
      <c r="G75" s="72" t="s">
        <v>4</v>
      </c>
      <c r="H75" s="73" t="s">
        <v>36</v>
      </c>
      <c r="I75" s="74" t="s">
        <v>37</v>
      </c>
      <c r="J75" s="75" t="s">
        <v>37</v>
      </c>
    </row>
    <row r="76" spans="1:10" x14ac:dyDescent="0.25">
      <c r="A76" s="67">
        <v>74</v>
      </c>
      <c r="B76" s="68" t="s">
        <v>119</v>
      </c>
      <c r="C76" s="75" t="s">
        <v>39</v>
      </c>
      <c r="D76" s="68" t="s">
        <v>126</v>
      </c>
      <c r="E76" s="70" t="s">
        <v>41</v>
      </c>
      <c r="F76" s="71">
        <v>1</v>
      </c>
      <c r="G76" s="72" t="s">
        <v>4</v>
      </c>
      <c r="H76" s="73" t="s">
        <v>49</v>
      </c>
      <c r="I76" s="74" t="s">
        <v>37</v>
      </c>
      <c r="J76" s="75" t="s">
        <v>37</v>
      </c>
    </row>
    <row r="77" spans="1:10" x14ac:dyDescent="0.25">
      <c r="A77" s="67">
        <v>75</v>
      </c>
      <c r="B77" s="68" t="s">
        <v>119</v>
      </c>
      <c r="C77" s="75" t="s">
        <v>39</v>
      </c>
      <c r="D77" s="68" t="s">
        <v>127</v>
      </c>
      <c r="E77" s="70" t="s">
        <v>41</v>
      </c>
      <c r="F77" s="71">
        <v>1</v>
      </c>
      <c r="G77" s="73" t="s">
        <v>4</v>
      </c>
      <c r="H77" s="73" t="s">
        <v>49</v>
      </c>
      <c r="I77" s="74" t="s">
        <v>37</v>
      </c>
      <c r="J77" s="75" t="s">
        <v>37</v>
      </c>
    </row>
    <row r="78" spans="1:10" x14ac:dyDescent="0.25">
      <c r="A78" s="67">
        <v>76</v>
      </c>
      <c r="B78" s="68" t="s">
        <v>119</v>
      </c>
      <c r="C78" s="75" t="s">
        <v>39</v>
      </c>
      <c r="D78" s="68" t="s">
        <v>128</v>
      </c>
      <c r="E78" s="70" t="s">
        <v>41</v>
      </c>
      <c r="F78" s="71">
        <v>1</v>
      </c>
      <c r="G78" s="72" t="s">
        <v>4</v>
      </c>
      <c r="H78" s="73" t="s">
        <v>49</v>
      </c>
      <c r="I78" s="74" t="s">
        <v>37</v>
      </c>
      <c r="J78" s="75" t="s">
        <v>37</v>
      </c>
    </row>
    <row r="79" spans="1:10" x14ac:dyDescent="0.25">
      <c r="A79" s="67">
        <v>77</v>
      </c>
      <c r="B79" s="68" t="s">
        <v>119</v>
      </c>
      <c r="C79" s="75" t="s">
        <v>39</v>
      </c>
      <c r="D79" s="68" t="s">
        <v>129</v>
      </c>
      <c r="E79" s="70" t="s">
        <v>35</v>
      </c>
      <c r="F79" s="71">
        <v>0</v>
      </c>
      <c r="G79" s="73" t="s">
        <v>6</v>
      </c>
      <c r="H79" s="73" t="s">
        <v>49</v>
      </c>
      <c r="I79" s="74" t="s">
        <v>37</v>
      </c>
      <c r="J79" s="75" t="s">
        <v>37</v>
      </c>
    </row>
    <row r="80" spans="1:10" x14ac:dyDescent="0.25">
      <c r="A80" s="67">
        <v>78</v>
      </c>
      <c r="B80" s="68" t="s">
        <v>119</v>
      </c>
      <c r="C80" s="75" t="s">
        <v>39</v>
      </c>
      <c r="D80" s="68" t="s">
        <v>130</v>
      </c>
      <c r="E80" s="70" t="s">
        <v>41</v>
      </c>
      <c r="F80" s="71">
        <v>0</v>
      </c>
      <c r="G80" s="72" t="s">
        <v>5</v>
      </c>
      <c r="H80" s="73" t="s">
        <v>49</v>
      </c>
      <c r="I80" s="74" t="s">
        <v>37</v>
      </c>
      <c r="J80" s="75" t="s">
        <v>37</v>
      </c>
    </row>
    <row r="81" spans="1:10" x14ac:dyDescent="0.25">
      <c r="A81" s="67">
        <v>79</v>
      </c>
      <c r="B81" s="68" t="s">
        <v>119</v>
      </c>
      <c r="C81" s="75" t="s">
        <v>33</v>
      </c>
      <c r="D81" s="68" t="s">
        <v>131</v>
      </c>
      <c r="E81" s="70" t="s">
        <v>35</v>
      </c>
      <c r="F81" s="71">
        <v>0.6</v>
      </c>
      <c r="G81" s="72" t="s">
        <v>5</v>
      </c>
      <c r="H81" s="73" t="s">
        <v>36</v>
      </c>
      <c r="I81" s="74" t="s">
        <v>37</v>
      </c>
      <c r="J81" s="75" t="s">
        <v>132</v>
      </c>
    </row>
    <row r="82" spans="1:10" x14ac:dyDescent="0.25">
      <c r="A82" s="67">
        <v>80</v>
      </c>
      <c r="B82" s="68" t="s">
        <v>133</v>
      </c>
      <c r="C82" s="75" t="s">
        <v>39</v>
      </c>
      <c r="D82" s="68" t="s">
        <v>134</v>
      </c>
      <c r="E82" s="70" t="s">
        <v>35</v>
      </c>
      <c r="F82" s="71">
        <v>1</v>
      </c>
      <c r="G82" s="72" t="s">
        <v>4</v>
      </c>
      <c r="H82" s="73" t="s">
        <v>49</v>
      </c>
      <c r="I82" s="74">
        <v>46187.79166666667</v>
      </c>
      <c r="J82" s="75" t="s">
        <v>37</v>
      </c>
    </row>
    <row r="83" spans="1:10" x14ac:dyDescent="0.25">
      <c r="A83" s="67">
        <v>81</v>
      </c>
      <c r="B83" s="68" t="s">
        <v>133</v>
      </c>
      <c r="C83" s="75" t="s">
        <v>39</v>
      </c>
      <c r="D83" s="68" t="s">
        <v>48</v>
      </c>
      <c r="E83" s="70" t="s">
        <v>35</v>
      </c>
      <c r="F83" s="71">
        <v>0</v>
      </c>
      <c r="G83" s="72" t="s">
        <v>6</v>
      </c>
      <c r="H83" s="73" t="s">
        <v>49</v>
      </c>
      <c r="I83" s="74">
        <v>46192.79166666667</v>
      </c>
      <c r="J83" s="75" t="s">
        <v>37</v>
      </c>
    </row>
    <row r="84" spans="1:10" x14ac:dyDescent="0.25">
      <c r="A84" s="67">
        <v>82</v>
      </c>
      <c r="B84" s="68" t="s">
        <v>133</v>
      </c>
      <c r="C84" s="75" t="s">
        <v>39</v>
      </c>
      <c r="D84" s="68" t="s">
        <v>53</v>
      </c>
      <c r="E84" s="70" t="s">
        <v>35</v>
      </c>
      <c r="F84" s="71">
        <v>0.5</v>
      </c>
      <c r="G84" s="72" t="s">
        <v>5</v>
      </c>
      <c r="H84" s="73" t="s">
        <v>49</v>
      </c>
      <c r="I84" s="74">
        <v>46197.79166666667</v>
      </c>
      <c r="J84" s="75" t="s">
        <v>37</v>
      </c>
    </row>
    <row r="85" spans="1:10" x14ac:dyDescent="0.25">
      <c r="A85" s="67">
        <v>83</v>
      </c>
      <c r="B85" s="68" t="s">
        <v>133</v>
      </c>
      <c r="C85" s="75" t="s">
        <v>33</v>
      </c>
      <c r="D85" s="68" t="s">
        <v>56</v>
      </c>
      <c r="E85" s="70" t="s">
        <v>35</v>
      </c>
      <c r="F85" s="71">
        <v>0.3</v>
      </c>
      <c r="G85" s="72" t="s">
        <v>5</v>
      </c>
      <c r="H85" s="73" t="s">
        <v>36</v>
      </c>
      <c r="I85" s="74">
        <v>46197.79166666667</v>
      </c>
      <c r="J85" s="75" t="s">
        <v>37</v>
      </c>
    </row>
    <row r="86" spans="1:10" x14ac:dyDescent="0.25">
      <c r="A86" s="67">
        <v>84</v>
      </c>
      <c r="B86" s="68" t="s">
        <v>133</v>
      </c>
      <c r="C86" s="75" t="s">
        <v>39</v>
      </c>
      <c r="D86" s="68" t="s">
        <v>57</v>
      </c>
      <c r="E86" s="70" t="s">
        <v>35</v>
      </c>
      <c r="F86" s="71">
        <v>0</v>
      </c>
      <c r="G86" s="72" t="s">
        <v>6</v>
      </c>
      <c r="H86" s="73" t="s">
        <v>36</v>
      </c>
      <c r="I86" s="74">
        <v>46197.79166666667</v>
      </c>
      <c r="J86" s="75" t="s">
        <v>37</v>
      </c>
    </row>
    <row r="87" ht="25.5" customHeight="1" spans="1:10" x14ac:dyDescent="0.25">
      <c r="A87" s="67">
        <v>85</v>
      </c>
      <c r="B87" s="68" t="s">
        <v>133</v>
      </c>
      <c r="C87" s="75" t="s">
        <v>39</v>
      </c>
      <c r="D87" s="68" t="s">
        <v>135</v>
      </c>
      <c r="E87" s="70" t="s">
        <v>35</v>
      </c>
      <c r="F87" s="71">
        <v>0</v>
      </c>
      <c r="G87" s="72" t="s">
        <v>6</v>
      </c>
      <c r="H87" s="73" t="s">
        <v>36</v>
      </c>
      <c r="I87" s="74">
        <v>46197.79166666667</v>
      </c>
      <c r="J87" s="75" t="s">
        <v>37</v>
      </c>
    </row>
    <row r="88" ht="25.5" customHeight="1" spans="1:10" x14ac:dyDescent="0.25">
      <c r="A88" s="67">
        <v>86</v>
      </c>
      <c r="B88" s="68" t="s">
        <v>133</v>
      </c>
      <c r="C88" s="75" t="s">
        <v>39</v>
      </c>
      <c r="D88" s="68" t="s">
        <v>136</v>
      </c>
      <c r="E88" s="70" t="s">
        <v>35</v>
      </c>
      <c r="F88" s="71">
        <v>0</v>
      </c>
      <c r="G88" s="72" t="s">
        <v>6</v>
      </c>
      <c r="H88" s="73" t="s">
        <v>36</v>
      </c>
      <c r="I88" s="74">
        <v>46196.79166666667</v>
      </c>
      <c r="J88" s="75" t="s">
        <v>37</v>
      </c>
    </row>
    <row r="89" ht="25.5" customHeight="1" spans="1:10" x14ac:dyDescent="0.25">
      <c r="A89" s="67">
        <v>87</v>
      </c>
      <c r="B89" s="68" t="s">
        <v>133</v>
      </c>
      <c r="C89" s="75" t="s">
        <v>33</v>
      </c>
      <c r="D89" s="68" t="s">
        <v>137</v>
      </c>
      <c r="E89" s="70" t="s">
        <v>35</v>
      </c>
      <c r="F89" s="71">
        <v>0.5</v>
      </c>
      <c r="G89" s="72" t="s">
        <v>5</v>
      </c>
      <c r="H89" s="73" t="s">
        <v>36</v>
      </c>
      <c r="I89" s="74">
        <v>46197.79166666667</v>
      </c>
      <c r="J89" s="75" t="s">
        <v>37</v>
      </c>
    </row>
    <row r="90" ht="25.5" customHeight="1" spans="1:10" x14ac:dyDescent="0.25">
      <c r="A90" s="67">
        <v>88</v>
      </c>
      <c r="B90" s="68" t="s">
        <v>133</v>
      </c>
      <c r="C90" s="75" t="s">
        <v>39</v>
      </c>
      <c r="D90" s="68" t="s">
        <v>51</v>
      </c>
      <c r="E90" s="70" t="s">
        <v>35</v>
      </c>
      <c r="F90" s="71">
        <v>1</v>
      </c>
      <c r="G90" s="72" t="s">
        <v>4</v>
      </c>
      <c r="H90" s="73" t="s">
        <v>49</v>
      </c>
      <c r="I90" s="74">
        <v>46197.79166666667</v>
      </c>
      <c r="J90" s="75" t="s">
        <v>37</v>
      </c>
    </row>
    <row r="91" ht="25.5" customHeight="1" spans="1:10" x14ac:dyDescent="0.25">
      <c r="A91" s="67">
        <v>89</v>
      </c>
      <c r="B91" s="68" t="s">
        <v>133</v>
      </c>
      <c r="C91" s="75" t="s">
        <v>39</v>
      </c>
      <c r="D91" s="68" t="s">
        <v>50</v>
      </c>
      <c r="E91" s="70" t="s">
        <v>35</v>
      </c>
      <c r="F91" s="71">
        <v>1</v>
      </c>
      <c r="G91" s="72" t="s">
        <v>4</v>
      </c>
      <c r="H91" s="73" t="s">
        <v>49</v>
      </c>
      <c r="I91" s="75">
        <v>46197.79166666667</v>
      </c>
      <c r="J91" s="75" t="s">
        <v>37</v>
      </c>
    </row>
    <row r="92" ht="25.5" customHeight="1" spans="1:10" x14ac:dyDescent="0.25">
      <c r="A92" s="67">
        <v>90</v>
      </c>
      <c r="B92" s="68" t="s">
        <v>133</v>
      </c>
      <c r="C92" s="75" t="s">
        <v>39</v>
      </c>
      <c r="D92" s="68" t="s">
        <v>52</v>
      </c>
      <c r="E92" s="70" t="s">
        <v>35</v>
      </c>
      <c r="F92" s="71">
        <v>1</v>
      </c>
      <c r="G92" s="72" t="s">
        <v>4</v>
      </c>
      <c r="H92" s="73" t="s">
        <v>49</v>
      </c>
      <c r="I92" s="75">
        <v>46197.79166666667</v>
      </c>
      <c r="J92" s="75" t="s">
        <v>37</v>
      </c>
    </row>
    <row r="93" spans="1:10" x14ac:dyDescent="0.25">
      <c r="A93" s="67">
        <v>91</v>
      </c>
      <c r="B93" s="68" t="s">
        <v>133</v>
      </c>
      <c r="C93" s="75" t="s">
        <v>33</v>
      </c>
      <c r="D93" s="68" t="s">
        <v>58</v>
      </c>
      <c r="E93" s="70" t="s">
        <v>35</v>
      </c>
      <c r="F93" s="71">
        <v>1</v>
      </c>
      <c r="G93" s="72" t="s">
        <v>4</v>
      </c>
      <c r="H93" s="73" t="s">
        <v>36</v>
      </c>
      <c r="I93" s="74">
        <v>46197.79166666667</v>
      </c>
      <c r="J93" s="75" t="s">
        <v>37</v>
      </c>
    </row>
    <row r="94" spans="1:10" x14ac:dyDescent="0.25">
      <c r="A94" s="67">
        <v>92</v>
      </c>
      <c r="B94" s="68" t="s">
        <v>138</v>
      </c>
      <c r="C94" s="75" t="s">
        <v>33</v>
      </c>
      <c r="D94" s="68" t="s">
        <v>139</v>
      </c>
      <c r="E94" s="70" t="s">
        <v>35</v>
      </c>
      <c r="F94" s="71">
        <v>0</v>
      </c>
      <c r="G94" s="72" t="s">
        <v>6</v>
      </c>
      <c r="H94" s="73" t="s">
        <v>36</v>
      </c>
      <c r="I94" s="74">
        <v>46185.79166666667</v>
      </c>
      <c r="J94" s="75" t="s">
        <v>37</v>
      </c>
    </row>
    <row r="95" spans="1:10" x14ac:dyDescent="0.25">
      <c r="A95" s="67">
        <v>93</v>
      </c>
      <c r="B95" s="68" t="s">
        <v>138</v>
      </c>
      <c r="C95" s="75" t="s">
        <v>33</v>
      </c>
      <c r="D95" s="68" t="s">
        <v>140</v>
      </c>
      <c r="E95" s="70" t="s">
        <v>35</v>
      </c>
      <c r="F95" s="71">
        <v>0.6</v>
      </c>
      <c r="G95" s="73" t="s">
        <v>5</v>
      </c>
      <c r="H95" s="73" t="s">
        <v>49</v>
      </c>
      <c r="I95" s="74" t="s">
        <v>37</v>
      </c>
      <c r="J95" s="75" t="s">
        <v>37</v>
      </c>
    </row>
    <row r="96" spans="1:10" x14ac:dyDescent="0.25">
      <c r="A96" s="67">
        <v>94</v>
      </c>
      <c r="B96" s="68" t="s">
        <v>138</v>
      </c>
      <c r="C96" s="75" t="s">
        <v>33</v>
      </c>
      <c r="D96" s="68" t="s">
        <v>141</v>
      </c>
      <c r="E96" s="70" t="s">
        <v>35</v>
      </c>
      <c r="F96" s="71">
        <v>0.2</v>
      </c>
      <c r="G96" s="72" t="s">
        <v>5</v>
      </c>
      <c r="H96" s="73" t="s">
        <v>36</v>
      </c>
      <c r="I96" s="74" t="s">
        <v>37</v>
      </c>
      <c r="J96" s="75" t="s">
        <v>37</v>
      </c>
    </row>
    <row r="97" spans="1:10" x14ac:dyDescent="0.25">
      <c r="A97" s="67">
        <v>95</v>
      </c>
      <c r="B97" s="68" t="s">
        <v>138</v>
      </c>
      <c r="C97" s="75" t="s">
        <v>33</v>
      </c>
      <c r="D97" s="68" t="s">
        <v>142</v>
      </c>
      <c r="E97" s="70" t="s">
        <v>35</v>
      </c>
      <c r="F97" s="71">
        <v>0.5</v>
      </c>
      <c r="G97" s="72" t="s">
        <v>5</v>
      </c>
      <c r="H97" s="73" t="s">
        <v>36</v>
      </c>
      <c r="I97" s="74" t="s">
        <v>37</v>
      </c>
      <c r="J97" s="75" t="s">
        <v>143</v>
      </c>
    </row>
    <row r="98" spans="1:10" x14ac:dyDescent="0.25">
      <c r="A98" s="67">
        <v>96</v>
      </c>
      <c r="B98" s="68" t="s">
        <v>138</v>
      </c>
      <c r="C98" s="75" t="s">
        <v>33</v>
      </c>
      <c r="D98" s="68" t="s">
        <v>144</v>
      </c>
      <c r="E98" s="70" t="s">
        <v>35</v>
      </c>
      <c r="F98" s="71">
        <v>0.5</v>
      </c>
      <c r="G98" s="72" t="s">
        <v>5</v>
      </c>
      <c r="H98" s="73" t="s">
        <v>36</v>
      </c>
      <c r="I98" s="74" t="s">
        <v>37</v>
      </c>
      <c r="J98" s="75" t="s">
        <v>37</v>
      </c>
    </row>
    <row r="99" ht="25.5" customHeight="1" spans="1:10" x14ac:dyDescent="0.25">
      <c r="A99" s="67">
        <v>97</v>
      </c>
      <c r="B99" s="68" t="s">
        <v>138</v>
      </c>
      <c r="C99" s="75" t="s">
        <v>33</v>
      </c>
      <c r="D99" s="68" t="s">
        <v>145</v>
      </c>
      <c r="E99" s="70" t="s">
        <v>35</v>
      </c>
      <c r="F99" s="71">
        <v>0.5</v>
      </c>
      <c r="G99" s="72" t="s">
        <v>5</v>
      </c>
      <c r="H99" s="73" t="s">
        <v>36</v>
      </c>
      <c r="I99" s="74" t="s">
        <v>37</v>
      </c>
      <c r="J99" s="75" t="s">
        <v>37</v>
      </c>
    </row>
    <row r="100" spans="1:10" x14ac:dyDescent="0.25">
      <c r="A100" s="67">
        <v>98</v>
      </c>
      <c r="B100" s="68" t="s">
        <v>146</v>
      </c>
      <c r="C100" s="75" t="s">
        <v>39</v>
      </c>
      <c r="D100" s="68" t="s">
        <v>147</v>
      </c>
      <c r="E100" s="70" t="s">
        <v>35</v>
      </c>
      <c r="F100" s="71">
        <v>1</v>
      </c>
      <c r="G100" s="72" t="s">
        <v>4</v>
      </c>
      <c r="H100" s="73" t="s">
        <v>36</v>
      </c>
      <c r="I100" s="74">
        <v>46157.79166666667</v>
      </c>
      <c r="J100" s="75" t="s">
        <v>37</v>
      </c>
    </row>
    <row r="101" spans="1:10" x14ac:dyDescent="0.25">
      <c r="A101" s="67">
        <v>99</v>
      </c>
      <c r="B101" s="68" t="s">
        <v>146</v>
      </c>
      <c r="C101" s="75" t="s">
        <v>33</v>
      </c>
      <c r="D101" s="68" t="s">
        <v>148</v>
      </c>
      <c r="E101" s="70" t="s">
        <v>35</v>
      </c>
      <c r="F101" s="71">
        <v>0.2</v>
      </c>
      <c r="G101" s="72" t="s">
        <v>5</v>
      </c>
      <c r="H101" s="73" t="s">
        <v>36</v>
      </c>
      <c r="I101" s="74">
        <v>46188.79166666667</v>
      </c>
      <c r="J101" s="75" t="s">
        <v>37</v>
      </c>
    </row>
    <row r="102" spans="1:10" x14ac:dyDescent="0.25">
      <c r="A102" s="67">
        <v>100</v>
      </c>
      <c r="B102" s="68" t="s">
        <v>146</v>
      </c>
      <c r="C102" s="75" t="s">
        <v>39</v>
      </c>
      <c r="D102" s="68" t="s">
        <v>149</v>
      </c>
      <c r="E102" s="70" t="s">
        <v>45</v>
      </c>
      <c r="F102" s="71">
        <v>0.8</v>
      </c>
      <c r="G102" s="73" t="s">
        <v>5</v>
      </c>
      <c r="H102" s="73" t="s">
        <v>49</v>
      </c>
      <c r="I102" s="74">
        <v>46188.79166666667</v>
      </c>
      <c r="J102" s="75" t="s">
        <v>37</v>
      </c>
    </row>
    <row r="103" spans="1:10" x14ac:dyDescent="0.25">
      <c r="A103" s="67">
        <v>101</v>
      </c>
      <c r="B103" s="68" t="s">
        <v>146</v>
      </c>
      <c r="C103" s="75" t="s">
        <v>39</v>
      </c>
      <c r="D103" s="68" t="s">
        <v>150</v>
      </c>
      <c r="E103" s="70" t="s">
        <v>35</v>
      </c>
      <c r="F103" s="71">
        <v>1</v>
      </c>
      <c r="G103" s="72" t="s">
        <v>4</v>
      </c>
      <c r="H103" s="73" t="s">
        <v>36</v>
      </c>
      <c r="I103" s="74">
        <v>46188.79166666667</v>
      </c>
      <c r="J103" s="75" t="s">
        <v>37</v>
      </c>
    </row>
    <row r="104" spans="1:10" x14ac:dyDescent="0.25">
      <c r="A104" s="67">
        <v>102</v>
      </c>
      <c r="B104" s="68" t="s">
        <v>146</v>
      </c>
      <c r="C104" s="75" t="s">
        <v>39</v>
      </c>
      <c r="D104" s="68" t="s">
        <v>151</v>
      </c>
      <c r="E104" s="70" t="s">
        <v>35</v>
      </c>
      <c r="F104" s="71">
        <v>1</v>
      </c>
      <c r="G104" s="72" t="s">
        <v>4</v>
      </c>
      <c r="H104" s="73" t="s">
        <v>49</v>
      </c>
      <c r="I104" s="74">
        <v>46188.79166666667</v>
      </c>
      <c r="J104" s="75" t="s">
        <v>37</v>
      </c>
    </row>
    <row r="105" spans="1:10" x14ac:dyDescent="0.25">
      <c r="A105" s="67">
        <v>103</v>
      </c>
      <c r="B105" s="68" t="s">
        <v>146</v>
      </c>
      <c r="C105" s="75" t="s">
        <v>39</v>
      </c>
      <c r="D105" s="68" t="s">
        <v>152</v>
      </c>
      <c r="E105" s="70" t="s">
        <v>35</v>
      </c>
      <c r="F105" s="71">
        <v>0.9</v>
      </c>
      <c r="G105" s="72" t="s">
        <v>5</v>
      </c>
      <c r="H105" s="73" t="s">
        <v>49</v>
      </c>
      <c r="I105" s="74">
        <v>46188.79166666667</v>
      </c>
      <c r="J105" s="75" t="s">
        <v>37</v>
      </c>
    </row>
    <row r="106" spans="1:10" x14ac:dyDescent="0.25">
      <c r="A106" s="67">
        <v>104</v>
      </c>
      <c r="B106" s="68" t="s">
        <v>146</v>
      </c>
      <c r="C106" s="75" t="s">
        <v>33</v>
      </c>
      <c r="D106" s="68" t="s">
        <v>153</v>
      </c>
      <c r="E106" s="70" t="s">
        <v>41</v>
      </c>
      <c r="F106" s="71">
        <v>1</v>
      </c>
      <c r="G106" s="72" t="s">
        <v>4</v>
      </c>
      <c r="H106" s="73" t="s">
        <v>36</v>
      </c>
      <c r="I106" s="74">
        <v>46188.79166666667</v>
      </c>
      <c r="J106" s="75" t="s">
        <v>37</v>
      </c>
    </row>
    <row r="107" spans="1:10" x14ac:dyDescent="0.25">
      <c r="A107" s="67">
        <v>105</v>
      </c>
      <c r="B107" s="68" t="s">
        <v>146</v>
      </c>
      <c r="C107" s="75" t="s">
        <v>33</v>
      </c>
      <c r="D107" s="68" t="s">
        <v>154</v>
      </c>
      <c r="E107" s="70" t="s">
        <v>35</v>
      </c>
      <c r="F107" s="71">
        <v>1</v>
      </c>
      <c r="G107" s="72" t="s">
        <v>4</v>
      </c>
      <c r="H107" s="73" t="s">
        <v>36</v>
      </c>
      <c r="I107" s="74">
        <v>46187.79166666667</v>
      </c>
      <c r="J107" s="75" t="s">
        <v>37</v>
      </c>
    </row>
    <row r="108" spans="1:10" x14ac:dyDescent="0.25">
      <c r="A108" s="67">
        <v>106</v>
      </c>
      <c r="B108" s="68" t="s">
        <v>146</v>
      </c>
      <c r="C108" s="75" t="s">
        <v>33</v>
      </c>
      <c r="D108" s="68" t="s">
        <v>155</v>
      </c>
      <c r="E108" s="70" t="s">
        <v>35</v>
      </c>
      <c r="F108" s="71">
        <v>1</v>
      </c>
      <c r="G108" s="72" t="s">
        <v>4</v>
      </c>
      <c r="H108" s="73" t="s">
        <v>36</v>
      </c>
      <c r="I108" s="74">
        <v>46188.79166666667</v>
      </c>
      <c r="J108" s="75" t="s">
        <v>37</v>
      </c>
    </row>
    <row r="109" spans="1:10" x14ac:dyDescent="0.25">
      <c r="A109" s="67">
        <v>107</v>
      </c>
      <c r="B109" s="68" t="s">
        <v>146</v>
      </c>
      <c r="C109" s="75" t="s">
        <v>33</v>
      </c>
      <c r="D109" s="68" t="s">
        <v>156</v>
      </c>
      <c r="E109" s="70" t="s">
        <v>35</v>
      </c>
      <c r="F109" s="71">
        <v>1</v>
      </c>
      <c r="G109" s="72" t="s">
        <v>4</v>
      </c>
      <c r="H109" s="73" t="s">
        <v>36</v>
      </c>
      <c r="I109" s="74">
        <v>46188.79166666667</v>
      </c>
      <c r="J109" s="75" t="s">
        <v>37</v>
      </c>
    </row>
    <row r="110" spans="1:10" x14ac:dyDescent="0.25">
      <c r="A110" s="67">
        <v>108</v>
      </c>
      <c r="B110" s="68" t="s">
        <v>146</v>
      </c>
      <c r="C110" s="75" t="s">
        <v>39</v>
      </c>
      <c r="D110" s="68" t="s">
        <v>157</v>
      </c>
      <c r="E110" s="70" t="s">
        <v>35</v>
      </c>
      <c r="F110" s="71">
        <v>1</v>
      </c>
      <c r="G110" s="73" t="s">
        <v>4</v>
      </c>
      <c r="H110" s="73" t="s">
        <v>36</v>
      </c>
      <c r="I110" s="74">
        <v>46188.79166666667</v>
      </c>
      <c r="J110" s="75" t="s">
        <v>37</v>
      </c>
    </row>
    <row r="111" spans="1:10" x14ac:dyDescent="0.25">
      <c r="A111" s="67">
        <v>109</v>
      </c>
      <c r="B111" s="68" t="s">
        <v>146</v>
      </c>
      <c r="C111" s="75" t="s">
        <v>39</v>
      </c>
      <c r="D111" s="68" t="s">
        <v>158</v>
      </c>
      <c r="E111" s="70" t="s">
        <v>35</v>
      </c>
      <c r="F111" s="71">
        <v>1</v>
      </c>
      <c r="G111" s="73" t="s">
        <v>4</v>
      </c>
      <c r="H111" s="73" t="s">
        <v>36</v>
      </c>
      <c r="I111" s="74">
        <v>46188.79166666667</v>
      </c>
      <c r="J111" s="75" t="s">
        <v>37</v>
      </c>
    </row>
    <row r="112" spans="1:10" x14ac:dyDescent="0.25">
      <c r="A112" s="67">
        <v>110</v>
      </c>
      <c r="B112" s="68" t="s">
        <v>146</v>
      </c>
      <c r="C112" s="75" t="s">
        <v>39</v>
      </c>
      <c r="D112" s="68" t="s">
        <v>159</v>
      </c>
      <c r="E112" s="70" t="s">
        <v>35</v>
      </c>
      <c r="F112" s="71">
        <v>1</v>
      </c>
      <c r="G112" s="73" t="s">
        <v>4</v>
      </c>
      <c r="H112" s="73" t="s">
        <v>36</v>
      </c>
      <c r="I112" s="74">
        <v>46188.79166666667</v>
      </c>
      <c r="J112" s="75" t="s">
        <v>37</v>
      </c>
    </row>
    <row r="113" spans="1:10" x14ac:dyDescent="0.25">
      <c r="A113" s="67">
        <v>111</v>
      </c>
      <c r="B113" s="68" t="s">
        <v>146</v>
      </c>
      <c r="C113" s="75" t="s">
        <v>39</v>
      </c>
      <c r="D113" s="68" t="s">
        <v>160</v>
      </c>
      <c r="E113" s="70" t="s">
        <v>35</v>
      </c>
      <c r="F113" s="71">
        <v>1</v>
      </c>
      <c r="G113" s="73" t="s">
        <v>4</v>
      </c>
      <c r="H113" s="73" t="s">
        <v>49</v>
      </c>
      <c r="I113" s="74">
        <v>46188.79166666667</v>
      </c>
      <c r="J113" s="75" t="s">
        <v>37</v>
      </c>
    </row>
    <row r="114" spans="1:10" x14ac:dyDescent="0.25">
      <c r="A114" s="67">
        <v>112</v>
      </c>
      <c r="B114" s="68" t="s">
        <v>146</v>
      </c>
      <c r="C114" s="75" t="s">
        <v>39</v>
      </c>
      <c r="D114" s="68" t="s">
        <v>161</v>
      </c>
      <c r="E114" s="70" t="s">
        <v>41</v>
      </c>
      <c r="F114" s="71">
        <v>1</v>
      </c>
      <c r="G114" s="72" t="s">
        <v>4</v>
      </c>
      <c r="H114" s="73" t="s">
        <v>49</v>
      </c>
      <c r="I114" s="74">
        <v>46188.79166666667</v>
      </c>
      <c r="J114" s="75" t="s">
        <v>37</v>
      </c>
    </row>
    <row r="115" spans="1:10" x14ac:dyDescent="0.25">
      <c r="A115" s="67">
        <v>113</v>
      </c>
      <c r="B115" s="68" t="s">
        <v>146</v>
      </c>
      <c r="C115" s="75" t="s">
        <v>39</v>
      </c>
      <c r="D115" s="68" t="s">
        <v>162</v>
      </c>
      <c r="E115" s="70" t="s">
        <v>41</v>
      </c>
      <c r="F115" s="71">
        <v>1</v>
      </c>
      <c r="G115" s="72" t="s">
        <v>4</v>
      </c>
      <c r="H115" s="73" t="s">
        <v>36</v>
      </c>
      <c r="I115" s="74">
        <v>46188.79166666667</v>
      </c>
      <c r="J115" s="75" t="s">
        <v>37</v>
      </c>
    </row>
    <row r="116" ht="25.5" customHeight="1" spans="1:10" x14ac:dyDescent="0.25">
      <c r="A116" s="67">
        <v>114</v>
      </c>
      <c r="B116" s="68" t="s">
        <v>146</v>
      </c>
      <c r="C116" s="75" t="s">
        <v>39</v>
      </c>
      <c r="D116" s="68" t="s">
        <v>163</v>
      </c>
      <c r="E116" s="70" t="s">
        <v>41</v>
      </c>
      <c r="F116" s="71">
        <v>1</v>
      </c>
      <c r="G116" s="72" t="s">
        <v>4</v>
      </c>
      <c r="H116" s="73" t="s">
        <v>36</v>
      </c>
      <c r="I116" s="74">
        <v>46188.79166666667</v>
      </c>
      <c r="J116" s="75" t="s">
        <v>37</v>
      </c>
    </row>
    <row r="117" spans="1:10" x14ac:dyDescent="0.25">
      <c r="A117" s="67">
        <v>115</v>
      </c>
      <c r="B117" s="68" t="s">
        <v>146</v>
      </c>
      <c r="C117" s="75" t="s">
        <v>39</v>
      </c>
      <c r="D117" s="68" t="s">
        <v>164</v>
      </c>
      <c r="E117" s="70" t="s">
        <v>41</v>
      </c>
      <c r="F117" s="71">
        <v>1</v>
      </c>
      <c r="G117" s="72" t="s">
        <v>4</v>
      </c>
      <c r="H117" s="73" t="s">
        <v>36</v>
      </c>
      <c r="I117" s="74">
        <v>46188.79166666667</v>
      </c>
      <c r="J117" s="75" t="s">
        <v>37</v>
      </c>
    </row>
    <row r="118" spans="1:10" x14ac:dyDescent="0.25">
      <c r="A118" s="67">
        <v>116</v>
      </c>
      <c r="B118" s="68" t="s">
        <v>146</v>
      </c>
      <c r="C118" s="75" t="s">
        <v>39</v>
      </c>
      <c r="D118" s="68" t="s">
        <v>165</v>
      </c>
      <c r="E118" s="70" t="s">
        <v>41</v>
      </c>
      <c r="F118" s="71">
        <v>1</v>
      </c>
      <c r="G118" s="72" t="s">
        <v>4</v>
      </c>
      <c r="H118" s="73" t="s">
        <v>36</v>
      </c>
      <c r="I118" s="74" t="s">
        <v>37</v>
      </c>
      <c r="J118" s="75" t="s">
        <v>37</v>
      </c>
    </row>
    <row r="119" spans="1:10" x14ac:dyDescent="0.25">
      <c r="A119" s="67">
        <v>117</v>
      </c>
      <c r="B119" s="68" t="s">
        <v>146</v>
      </c>
      <c r="C119" s="75" t="s">
        <v>33</v>
      </c>
      <c r="D119" s="68" t="s">
        <v>166</v>
      </c>
      <c r="E119" s="70" t="s">
        <v>35</v>
      </c>
      <c r="F119" s="71">
        <v>0.2</v>
      </c>
      <c r="G119" s="72" t="s">
        <v>5</v>
      </c>
      <c r="H119" s="73" t="s">
        <v>49</v>
      </c>
      <c r="I119" s="74">
        <v>46188.79166666667</v>
      </c>
      <c r="J119" s="75" t="s">
        <v>37</v>
      </c>
    </row>
    <row r="120" spans="1:10" x14ac:dyDescent="0.25">
      <c r="A120" s="67">
        <v>118</v>
      </c>
      <c r="B120" s="68" t="s">
        <v>146</v>
      </c>
      <c r="C120" s="75" t="s">
        <v>39</v>
      </c>
      <c r="D120" s="68" t="s">
        <v>167</v>
      </c>
      <c r="E120" s="70" t="s">
        <v>41</v>
      </c>
      <c r="F120" s="71">
        <v>0.8</v>
      </c>
      <c r="G120" s="72" t="s">
        <v>5</v>
      </c>
      <c r="H120" s="73" t="s">
        <v>36</v>
      </c>
      <c r="I120" s="74" t="s">
        <v>37</v>
      </c>
      <c r="J120" s="75" t="s">
        <v>37</v>
      </c>
    </row>
    <row r="121" spans="1:10" x14ac:dyDescent="0.25">
      <c r="A121" s="67">
        <v>119</v>
      </c>
      <c r="B121" s="68" t="s">
        <v>146</v>
      </c>
      <c r="C121" s="75" t="s">
        <v>39</v>
      </c>
      <c r="D121" s="68" t="s">
        <v>168</v>
      </c>
      <c r="E121" s="70" t="s">
        <v>35</v>
      </c>
      <c r="F121" s="71">
        <v>0.1</v>
      </c>
      <c r="G121" s="72" t="s">
        <v>5</v>
      </c>
      <c r="H121" s="73" t="s">
        <v>36</v>
      </c>
      <c r="I121" s="74" t="s">
        <v>37</v>
      </c>
      <c r="J121" s="75" t="s">
        <v>37</v>
      </c>
    </row>
    <row r="122" spans="1:10" x14ac:dyDescent="0.25">
      <c r="A122" s="67">
        <v>120</v>
      </c>
      <c r="B122" s="68" t="s">
        <v>146</v>
      </c>
      <c r="C122" s="75" t="s">
        <v>39</v>
      </c>
      <c r="D122" s="68" t="s">
        <v>169</v>
      </c>
      <c r="E122" s="70" t="s">
        <v>41</v>
      </c>
      <c r="F122" s="71">
        <v>0.1</v>
      </c>
      <c r="G122" s="72" t="s">
        <v>5</v>
      </c>
      <c r="H122" s="73" t="s">
        <v>170</v>
      </c>
      <c r="I122" s="74" t="s">
        <v>37</v>
      </c>
      <c r="J122" s="75" t="s">
        <v>37</v>
      </c>
    </row>
    <row r="123" spans="1:10" x14ac:dyDescent="0.25">
      <c r="A123" s="67">
        <v>121</v>
      </c>
      <c r="B123" s="68" t="s">
        <v>146</v>
      </c>
      <c r="C123" s="75" t="s">
        <v>39</v>
      </c>
      <c r="D123" s="68" t="s">
        <v>171</v>
      </c>
      <c r="E123" s="70" t="s">
        <v>41</v>
      </c>
      <c r="F123" s="71">
        <v>0.9</v>
      </c>
      <c r="G123" s="73" t="s">
        <v>5</v>
      </c>
      <c r="H123" s="73" t="s">
        <v>36</v>
      </c>
      <c r="I123" s="74" t="s">
        <v>37</v>
      </c>
      <c r="J123" s="75" t="s">
        <v>37</v>
      </c>
    </row>
    <row r="124" spans="1:10" x14ac:dyDescent="0.25">
      <c r="A124" s="67">
        <v>122</v>
      </c>
      <c r="B124" s="68" t="s">
        <v>172</v>
      </c>
      <c r="C124" s="75" t="s">
        <v>39</v>
      </c>
      <c r="D124" s="68" t="s">
        <v>134</v>
      </c>
      <c r="E124" s="70" t="s">
        <v>35</v>
      </c>
      <c r="F124" s="71">
        <v>1</v>
      </c>
      <c r="G124" s="72" t="s">
        <v>4</v>
      </c>
      <c r="H124" s="73" t="s">
        <v>49</v>
      </c>
      <c r="I124" s="74">
        <v>46187.79166666667</v>
      </c>
      <c r="J124" s="75" t="s">
        <v>37</v>
      </c>
    </row>
    <row r="125" ht="25.5" customHeight="1" spans="1:10" x14ac:dyDescent="0.25">
      <c r="A125" s="67">
        <v>123</v>
      </c>
      <c r="B125" s="68" t="s">
        <v>172</v>
      </c>
      <c r="C125" s="75" t="s">
        <v>39</v>
      </c>
      <c r="D125" s="68" t="s">
        <v>173</v>
      </c>
      <c r="E125" s="70" t="s">
        <v>35</v>
      </c>
      <c r="F125" s="71">
        <v>1</v>
      </c>
      <c r="G125" s="73" t="s">
        <v>4</v>
      </c>
      <c r="H125" s="73" t="s">
        <v>49</v>
      </c>
      <c r="I125" s="74">
        <v>46187.79166666667</v>
      </c>
      <c r="J125" s="75" t="s">
        <v>37</v>
      </c>
    </row>
    <row r="126" spans="1:10" x14ac:dyDescent="0.25">
      <c r="A126" s="67">
        <v>124</v>
      </c>
      <c r="B126" s="68" t="s">
        <v>172</v>
      </c>
      <c r="C126" s="75" t="s">
        <v>33</v>
      </c>
      <c r="D126" s="68" t="s">
        <v>174</v>
      </c>
      <c r="E126" s="70" t="s">
        <v>35</v>
      </c>
      <c r="F126" s="71">
        <v>1</v>
      </c>
      <c r="G126" s="72" t="s">
        <v>4</v>
      </c>
      <c r="H126" s="73" t="s">
        <v>49</v>
      </c>
      <c r="I126" s="74">
        <v>46187.79166666667</v>
      </c>
      <c r="J126" s="75" t="s">
        <v>37</v>
      </c>
    </row>
    <row r="127" spans="1:10" x14ac:dyDescent="0.25">
      <c r="A127" s="67">
        <v>125</v>
      </c>
      <c r="B127" s="68" t="s">
        <v>172</v>
      </c>
      <c r="C127" s="75" t="s">
        <v>39</v>
      </c>
      <c r="D127" s="68" t="s">
        <v>175</v>
      </c>
      <c r="E127" s="70" t="s">
        <v>35</v>
      </c>
      <c r="F127" s="71">
        <v>1</v>
      </c>
      <c r="G127" s="72" t="s">
        <v>4</v>
      </c>
      <c r="H127" s="73" t="s">
        <v>49</v>
      </c>
      <c r="I127" s="74">
        <v>46187.79166666667</v>
      </c>
      <c r="J127" s="75" t="s">
        <v>37</v>
      </c>
    </row>
    <row r="128" spans="1:10" x14ac:dyDescent="0.25">
      <c r="A128" s="67">
        <v>126</v>
      </c>
      <c r="B128" s="68" t="s">
        <v>172</v>
      </c>
      <c r="C128" s="75" t="s">
        <v>33</v>
      </c>
      <c r="D128" s="68" t="s">
        <v>176</v>
      </c>
      <c r="E128" s="70" t="s">
        <v>35</v>
      </c>
      <c r="F128" s="71">
        <v>0.8</v>
      </c>
      <c r="G128" s="72" t="s">
        <v>5</v>
      </c>
      <c r="H128" s="73" t="s">
        <v>36</v>
      </c>
      <c r="I128" s="74">
        <v>46186.79166666667</v>
      </c>
      <c r="J128" s="75" t="s">
        <v>37</v>
      </c>
    </row>
    <row r="129" spans="1:10" x14ac:dyDescent="0.25">
      <c r="A129" s="67">
        <v>127</v>
      </c>
      <c r="B129" s="68" t="s">
        <v>172</v>
      </c>
      <c r="C129" s="75" t="s">
        <v>33</v>
      </c>
      <c r="D129" s="68" t="s">
        <v>58</v>
      </c>
      <c r="E129" s="70" t="s">
        <v>35</v>
      </c>
      <c r="F129" s="71">
        <v>1</v>
      </c>
      <c r="G129" s="72" t="s">
        <v>4</v>
      </c>
      <c r="H129" s="73" t="s">
        <v>36</v>
      </c>
      <c r="I129" s="74">
        <v>46197.79166666667</v>
      </c>
      <c r="J129" s="75" t="s">
        <v>37</v>
      </c>
    </row>
    <row r="130" spans="1:10" x14ac:dyDescent="0.25">
      <c r="A130" s="67">
        <v>128</v>
      </c>
      <c r="B130" s="68" t="s">
        <v>172</v>
      </c>
      <c r="C130" s="75" t="s">
        <v>39</v>
      </c>
      <c r="D130" s="68" t="s">
        <v>177</v>
      </c>
      <c r="E130" s="70" t="s">
        <v>35</v>
      </c>
      <c r="F130" s="71">
        <v>1</v>
      </c>
      <c r="G130" s="72" t="s">
        <v>4</v>
      </c>
      <c r="H130" s="73" t="s">
        <v>49</v>
      </c>
      <c r="I130" s="74">
        <v>46197.79166666667</v>
      </c>
      <c r="J130" s="75" t="s">
        <v>37</v>
      </c>
    </row>
    <row r="131" spans="1:10" x14ac:dyDescent="0.25">
      <c r="A131" s="67">
        <v>129</v>
      </c>
      <c r="B131" s="68" t="s">
        <v>172</v>
      </c>
      <c r="C131" s="75" t="s">
        <v>39</v>
      </c>
      <c r="D131" s="68" t="s">
        <v>178</v>
      </c>
      <c r="E131" s="70" t="s">
        <v>35</v>
      </c>
      <c r="F131" s="71">
        <v>1</v>
      </c>
      <c r="G131" s="72" t="s">
        <v>4</v>
      </c>
      <c r="H131" s="73" t="s">
        <v>49</v>
      </c>
      <c r="I131" s="74">
        <v>46197.79166666667</v>
      </c>
      <c r="J131" s="75" t="s">
        <v>37</v>
      </c>
    </row>
    <row r="132" spans="1:10" x14ac:dyDescent="0.25">
      <c r="A132" s="67">
        <v>130</v>
      </c>
      <c r="B132" s="68" t="s">
        <v>172</v>
      </c>
      <c r="C132" s="75" t="s">
        <v>39</v>
      </c>
      <c r="D132" s="68" t="s">
        <v>179</v>
      </c>
      <c r="E132" s="70" t="s">
        <v>35</v>
      </c>
      <c r="F132" s="71">
        <v>1</v>
      </c>
      <c r="G132" s="72" t="s">
        <v>4</v>
      </c>
      <c r="H132" s="73" t="s">
        <v>49</v>
      </c>
      <c r="I132" s="74">
        <v>46197.79166666667</v>
      </c>
      <c r="J132" s="75" t="s">
        <v>37</v>
      </c>
    </row>
    <row r="133" spans="1:10" x14ac:dyDescent="0.25">
      <c r="A133" s="67">
        <v>131</v>
      </c>
      <c r="B133" s="68" t="s">
        <v>172</v>
      </c>
      <c r="C133" s="75" t="s">
        <v>39</v>
      </c>
      <c r="D133" s="68" t="s">
        <v>180</v>
      </c>
      <c r="E133" s="70" t="s">
        <v>35</v>
      </c>
      <c r="F133" s="71">
        <v>1</v>
      </c>
      <c r="G133" s="72" t="s">
        <v>4</v>
      </c>
      <c r="H133" s="73" t="s">
        <v>49</v>
      </c>
      <c r="I133" s="74">
        <v>46197.79166666667</v>
      </c>
      <c r="J133" s="75" t="s">
        <v>37</v>
      </c>
    </row>
    <row r="134" spans="1:10" x14ac:dyDescent="0.25">
      <c r="A134" s="67">
        <v>132</v>
      </c>
      <c r="B134" s="68" t="s">
        <v>172</v>
      </c>
      <c r="C134" s="75" t="s">
        <v>33</v>
      </c>
      <c r="D134" s="68" t="s">
        <v>181</v>
      </c>
      <c r="E134" s="70" t="s">
        <v>35</v>
      </c>
      <c r="F134" s="71">
        <v>0.5</v>
      </c>
      <c r="G134" s="72" t="s">
        <v>5</v>
      </c>
      <c r="H134" s="73" t="s">
        <v>36</v>
      </c>
      <c r="I134" s="74">
        <v>46197.79166666667</v>
      </c>
      <c r="J134" s="75" t="s">
        <v>37</v>
      </c>
    </row>
    <row r="135" spans="1:10" x14ac:dyDescent="0.25">
      <c r="A135" s="67">
        <v>133</v>
      </c>
      <c r="B135" s="68" t="s">
        <v>172</v>
      </c>
      <c r="C135" s="75" t="s">
        <v>39</v>
      </c>
      <c r="D135" s="68" t="s">
        <v>182</v>
      </c>
      <c r="E135" s="70" t="s">
        <v>35</v>
      </c>
      <c r="F135" s="71">
        <v>1</v>
      </c>
      <c r="G135" s="72" t="s">
        <v>4</v>
      </c>
      <c r="H135" s="73" t="s">
        <v>49</v>
      </c>
      <c r="I135" s="74">
        <v>46023.79166666667</v>
      </c>
      <c r="J135" s="75" t="s">
        <v>37</v>
      </c>
    </row>
    <row r="136" spans="1:10" x14ac:dyDescent="0.25">
      <c r="A136" s="67">
        <v>134</v>
      </c>
      <c r="B136" s="68" t="s">
        <v>172</v>
      </c>
      <c r="C136" s="75" t="s">
        <v>33</v>
      </c>
      <c r="D136" s="68" t="s">
        <v>56</v>
      </c>
      <c r="E136" s="70" t="s">
        <v>35</v>
      </c>
      <c r="F136" s="71">
        <v>0</v>
      </c>
      <c r="G136" s="72" t="s">
        <v>6</v>
      </c>
      <c r="H136" s="73" t="s">
        <v>36</v>
      </c>
      <c r="I136" s="74">
        <v>46197.79166666667</v>
      </c>
      <c r="J136" s="75" t="s">
        <v>37</v>
      </c>
    </row>
    <row r="137" spans="1:10" x14ac:dyDescent="0.25">
      <c r="A137" s="67">
        <v>135</v>
      </c>
      <c r="B137" s="68" t="s">
        <v>172</v>
      </c>
      <c r="C137" s="75" t="s">
        <v>39</v>
      </c>
      <c r="D137" s="68" t="s">
        <v>183</v>
      </c>
      <c r="E137" s="70" t="s">
        <v>35</v>
      </c>
      <c r="F137" s="71">
        <v>0</v>
      </c>
      <c r="G137" s="72" t="s">
        <v>6</v>
      </c>
      <c r="H137" s="73" t="s">
        <v>36</v>
      </c>
      <c r="I137" s="74">
        <v>46197.79166666667</v>
      </c>
      <c r="J137" s="75" t="s">
        <v>37</v>
      </c>
    </row>
    <row r="138" spans="1:10" x14ac:dyDescent="0.25">
      <c r="A138" s="67">
        <v>136</v>
      </c>
      <c r="B138" s="68" t="s">
        <v>172</v>
      </c>
      <c r="C138" s="75" t="s">
        <v>39</v>
      </c>
      <c r="D138" s="68" t="s">
        <v>184</v>
      </c>
      <c r="E138" s="70" t="s">
        <v>35</v>
      </c>
      <c r="F138" s="71">
        <v>0.5</v>
      </c>
      <c r="G138" s="73" t="s">
        <v>5</v>
      </c>
      <c r="H138" s="73" t="s">
        <v>36</v>
      </c>
      <c r="I138" s="74">
        <v>46197.79166666667</v>
      </c>
      <c r="J138" s="75" t="s">
        <v>37</v>
      </c>
    </row>
    <row r="139" spans="1:10" x14ac:dyDescent="0.25">
      <c r="A139" s="67">
        <v>137</v>
      </c>
      <c r="B139" s="68" t="s">
        <v>172</v>
      </c>
      <c r="C139" s="75" t="s">
        <v>39</v>
      </c>
      <c r="D139" s="68" t="s">
        <v>185</v>
      </c>
      <c r="E139" s="70" t="s">
        <v>35</v>
      </c>
      <c r="F139" s="71">
        <v>0</v>
      </c>
      <c r="G139" s="73" t="s">
        <v>5</v>
      </c>
      <c r="H139" s="73" t="s">
        <v>36</v>
      </c>
      <c r="I139" s="74" t="s">
        <v>37</v>
      </c>
      <c r="J139" s="75" t="s">
        <v>37</v>
      </c>
    </row>
    <row r="140" spans="1:10" x14ac:dyDescent="0.25">
      <c r="A140" s="67">
        <v>138</v>
      </c>
      <c r="B140" s="68" t="s">
        <v>186</v>
      </c>
      <c r="C140" s="75" t="s">
        <v>39</v>
      </c>
      <c r="D140" s="68" t="s">
        <v>187</v>
      </c>
      <c r="E140" s="70" t="s">
        <v>35</v>
      </c>
      <c r="F140" s="71">
        <v>1</v>
      </c>
      <c r="G140" s="73" t="s">
        <v>4</v>
      </c>
      <c r="H140" s="73" t="s">
        <v>36</v>
      </c>
      <c r="I140" s="74">
        <v>46191.79166666667</v>
      </c>
      <c r="J140" s="75" t="s">
        <v>37</v>
      </c>
    </row>
    <row r="141" spans="1:10" x14ac:dyDescent="0.25">
      <c r="A141" s="67">
        <v>139</v>
      </c>
      <c r="B141" s="68" t="s">
        <v>186</v>
      </c>
      <c r="C141" s="75" t="s">
        <v>39</v>
      </c>
      <c r="D141" s="68" t="s">
        <v>188</v>
      </c>
      <c r="E141" s="70" t="s">
        <v>35</v>
      </c>
      <c r="F141" s="71">
        <v>0.5</v>
      </c>
      <c r="G141" s="72" t="s">
        <v>5</v>
      </c>
      <c r="H141" s="73" t="s">
        <v>36</v>
      </c>
      <c r="I141" s="74">
        <v>46191.79166666667</v>
      </c>
      <c r="J141" s="75" t="s">
        <v>37</v>
      </c>
    </row>
    <row r="142" spans="1:10" x14ac:dyDescent="0.25">
      <c r="A142" s="67">
        <v>140</v>
      </c>
      <c r="B142" s="68" t="s">
        <v>186</v>
      </c>
      <c r="C142" s="75" t="s">
        <v>33</v>
      </c>
      <c r="D142" s="68" t="s">
        <v>189</v>
      </c>
      <c r="E142" s="70" t="s">
        <v>35</v>
      </c>
      <c r="F142" s="71">
        <v>0.5</v>
      </c>
      <c r="G142" s="72" t="s">
        <v>5</v>
      </c>
      <c r="H142" s="73" t="s">
        <v>36</v>
      </c>
      <c r="I142" s="74">
        <v>46191.79166666667</v>
      </c>
      <c r="J142" s="75" t="s">
        <v>37</v>
      </c>
    </row>
    <row r="143" spans="1:10" x14ac:dyDescent="0.25">
      <c r="A143" s="67">
        <v>141</v>
      </c>
      <c r="B143" s="68" t="s">
        <v>186</v>
      </c>
      <c r="C143" s="75" t="s">
        <v>33</v>
      </c>
      <c r="D143" s="68" t="s">
        <v>190</v>
      </c>
      <c r="E143" s="70" t="s">
        <v>35</v>
      </c>
      <c r="F143" s="71">
        <v>1</v>
      </c>
      <c r="G143" s="72" t="s">
        <v>4</v>
      </c>
      <c r="H143" s="73" t="s">
        <v>36</v>
      </c>
      <c r="I143" s="74">
        <v>46191.79166666667</v>
      </c>
      <c r="J143" s="75" t="s">
        <v>37</v>
      </c>
    </row>
    <row r="144" spans="1:10" x14ac:dyDescent="0.25">
      <c r="A144" s="67">
        <v>142</v>
      </c>
      <c r="B144" s="68" t="s">
        <v>186</v>
      </c>
      <c r="C144" s="75" t="s">
        <v>33</v>
      </c>
      <c r="D144" s="68" t="s">
        <v>191</v>
      </c>
      <c r="E144" s="70" t="s">
        <v>35</v>
      </c>
      <c r="F144" s="71">
        <v>1</v>
      </c>
      <c r="G144" s="72" t="s">
        <v>4</v>
      </c>
      <c r="H144" s="73" t="s">
        <v>36</v>
      </c>
      <c r="I144" s="74">
        <v>46191.79166666667</v>
      </c>
      <c r="J144" s="75" t="s">
        <v>37</v>
      </c>
    </row>
    <row r="145" ht="25.5" customHeight="1" spans="1:10" x14ac:dyDescent="0.25">
      <c r="A145" s="67">
        <v>143</v>
      </c>
      <c r="B145" s="68" t="s">
        <v>186</v>
      </c>
      <c r="C145" s="75" t="s">
        <v>33</v>
      </c>
      <c r="D145" s="68" t="s">
        <v>192</v>
      </c>
      <c r="E145" s="70" t="s">
        <v>35</v>
      </c>
      <c r="F145" s="71">
        <v>1</v>
      </c>
      <c r="G145" s="72" t="s">
        <v>4</v>
      </c>
      <c r="H145" s="73" t="s">
        <v>36</v>
      </c>
      <c r="I145" s="74">
        <v>46191.79166666667</v>
      </c>
      <c r="J145" s="75" t="s">
        <v>37</v>
      </c>
    </row>
    <row r="146" spans="1:10" x14ac:dyDescent="0.25">
      <c r="A146" s="67">
        <v>144</v>
      </c>
      <c r="B146" s="68" t="s">
        <v>186</v>
      </c>
      <c r="C146" s="75" t="s">
        <v>39</v>
      </c>
      <c r="D146" s="68" t="s">
        <v>193</v>
      </c>
      <c r="E146" s="70" t="s">
        <v>35</v>
      </c>
      <c r="F146" s="71">
        <v>1</v>
      </c>
      <c r="G146" s="72" t="s">
        <v>4</v>
      </c>
      <c r="H146" s="73" t="s">
        <v>36</v>
      </c>
      <c r="I146" s="74">
        <v>46191.79166666667</v>
      </c>
      <c r="J146" s="75" t="s">
        <v>37</v>
      </c>
    </row>
    <row r="147" spans="1:10" x14ac:dyDescent="0.25">
      <c r="A147" s="67">
        <v>145</v>
      </c>
      <c r="B147" s="68" t="s">
        <v>186</v>
      </c>
      <c r="C147" s="75" t="s">
        <v>39</v>
      </c>
      <c r="D147" s="68" t="s">
        <v>194</v>
      </c>
      <c r="E147" s="70" t="s">
        <v>35</v>
      </c>
      <c r="F147" s="71">
        <v>1</v>
      </c>
      <c r="G147" s="72" t="s">
        <v>4</v>
      </c>
      <c r="H147" s="73" t="s">
        <v>36</v>
      </c>
      <c r="I147" s="75">
        <v>46191.79166666667</v>
      </c>
      <c r="J147" s="75" t="s">
        <v>37</v>
      </c>
    </row>
    <row r="148" spans="1:10" x14ac:dyDescent="0.25">
      <c r="A148" s="67">
        <v>146</v>
      </c>
      <c r="B148" s="68" t="s">
        <v>186</v>
      </c>
      <c r="C148" s="75" t="s">
        <v>39</v>
      </c>
      <c r="D148" s="68" t="s">
        <v>195</v>
      </c>
      <c r="E148" s="70" t="s">
        <v>35</v>
      </c>
      <c r="F148" s="71">
        <v>1</v>
      </c>
      <c r="G148" s="72" t="s">
        <v>4</v>
      </c>
      <c r="H148" s="73" t="s">
        <v>36</v>
      </c>
      <c r="I148" s="75">
        <v>46191.79166666667</v>
      </c>
      <c r="J148" s="75" t="s">
        <v>37</v>
      </c>
    </row>
    <row r="149" spans="1:10" x14ac:dyDescent="0.25">
      <c r="A149" s="67">
        <v>147</v>
      </c>
      <c r="B149" s="68" t="s">
        <v>186</v>
      </c>
      <c r="C149" s="75" t="s">
        <v>39</v>
      </c>
      <c r="D149" s="68" t="s">
        <v>196</v>
      </c>
      <c r="E149" s="70" t="s">
        <v>35</v>
      </c>
      <c r="F149" s="71">
        <v>0.6</v>
      </c>
      <c r="G149" s="72" t="s">
        <v>5</v>
      </c>
      <c r="H149" s="73" t="s">
        <v>36</v>
      </c>
      <c r="I149" s="75">
        <v>46191.79166666667</v>
      </c>
      <c r="J149" s="75" t="s">
        <v>37</v>
      </c>
    </row>
    <row r="150" spans="1:10" x14ac:dyDescent="0.25">
      <c r="A150" s="67">
        <v>148</v>
      </c>
      <c r="B150" s="68" t="s">
        <v>186</v>
      </c>
      <c r="C150" s="75" t="s">
        <v>33</v>
      </c>
      <c r="D150" s="68" t="s">
        <v>56</v>
      </c>
      <c r="E150" s="70" t="s">
        <v>35</v>
      </c>
      <c r="F150" s="71">
        <v>0</v>
      </c>
      <c r="G150" s="72" t="s">
        <v>6</v>
      </c>
      <c r="H150" s="73" t="s">
        <v>36</v>
      </c>
      <c r="I150" s="74">
        <v>46191.79166666667</v>
      </c>
      <c r="J150" s="75" t="s">
        <v>37</v>
      </c>
    </row>
    <row r="151" spans="1:10" x14ac:dyDescent="0.25">
      <c r="A151" s="67">
        <v>149</v>
      </c>
      <c r="B151" s="68" t="s">
        <v>186</v>
      </c>
      <c r="C151" s="75" t="s">
        <v>39</v>
      </c>
      <c r="D151" s="68" t="s">
        <v>197</v>
      </c>
      <c r="E151" s="70" t="s">
        <v>35</v>
      </c>
      <c r="F151" s="71">
        <v>0</v>
      </c>
      <c r="G151" s="73" t="s">
        <v>6</v>
      </c>
      <c r="H151" s="73" t="s">
        <v>36</v>
      </c>
      <c r="I151" s="74">
        <v>46191.79166666667</v>
      </c>
      <c r="J151" s="75" t="s">
        <v>37</v>
      </c>
    </row>
    <row r="152" spans="1:10" x14ac:dyDescent="0.25">
      <c r="A152" s="67">
        <v>150</v>
      </c>
      <c r="B152" s="68" t="s">
        <v>186</v>
      </c>
      <c r="C152" s="75" t="s">
        <v>39</v>
      </c>
      <c r="D152" s="68" t="s">
        <v>198</v>
      </c>
      <c r="E152" s="70" t="s">
        <v>35</v>
      </c>
      <c r="F152" s="71">
        <v>1</v>
      </c>
      <c r="G152" s="73" t="s">
        <v>4</v>
      </c>
      <c r="H152" s="73" t="s">
        <v>36</v>
      </c>
      <c r="I152" s="74">
        <v>46191.79166666667</v>
      </c>
      <c r="J152" s="75" t="s">
        <v>37</v>
      </c>
    </row>
    <row r="153" spans="1:10" x14ac:dyDescent="0.25">
      <c r="A153" s="67">
        <v>151</v>
      </c>
      <c r="B153" s="68" t="s">
        <v>186</v>
      </c>
      <c r="C153" s="75" t="s">
        <v>39</v>
      </c>
      <c r="D153" s="68" t="s">
        <v>199</v>
      </c>
      <c r="E153" s="70" t="s">
        <v>35</v>
      </c>
      <c r="F153" s="71">
        <v>1</v>
      </c>
      <c r="G153" s="73" t="s">
        <v>4</v>
      </c>
      <c r="H153" s="73" t="s">
        <v>49</v>
      </c>
      <c r="I153" s="74">
        <v>46191.79166666667</v>
      </c>
      <c r="J153" s="75" t="s">
        <v>37</v>
      </c>
    </row>
    <row r="154" spans="1:10" x14ac:dyDescent="0.25">
      <c r="A154" s="67">
        <v>152</v>
      </c>
      <c r="B154" s="68" t="s">
        <v>186</v>
      </c>
      <c r="C154" s="75" t="s">
        <v>39</v>
      </c>
      <c r="D154" s="68" t="s">
        <v>200</v>
      </c>
      <c r="E154" s="70" t="s">
        <v>35</v>
      </c>
      <c r="F154" s="71">
        <v>0.5</v>
      </c>
      <c r="G154" s="73" t="s">
        <v>4</v>
      </c>
      <c r="H154" s="73" t="s">
        <v>36</v>
      </c>
      <c r="I154" s="74">
        <v>46191.79166666667</v>
      </c>
      <c r="J154" s="75" t="s">
        <v>37</v>
      </c>
    </row>
    <row r="155" spans="1:10" x14ac:dyDescent="0.25">
      <c r="A155" s="67">
        <v>153</v>
      </c>
      <c r="B155" s="68" t="s">
        <v>186</v>
      </c>
      <c r="C155" s="75" t="s">
        <v>39</v>
      </c>
      <c r="D155" s="68" t="s">
        <v>201</v>
      </c>
      <c r="E155" s="70" t="s">
        <v>35</v>
      </c>
      <c r="F155" s="71">
        <v>1</v>
      </c>
      <c r="G155" s="72" t="s">
        <v>4</v>
      </c>
      <c r="H155" s="73" t="s">
        <v>36</v>
      </c>
      <c r="I155" s="74">
        <v>46191.79166666667</v>
      </c>
      <c r="J155" s="75" t="s">
        <v>37</v>
      </c>
    </row>
    <row r="156" spans="1:10" x14ac:dyDescent="0.25">
      <c r="A156" s="67">
        <v>154</v>
      </c>
      <c r="B156" s="68" t="s">
        <v>202</v>
      </c>
      <c r="C156" s="75" t="s">
        <v>33</v>
      </c>
      <c r="D156" s="68" t="s">
        <v>203</v>
      </c>
      <c r="E156" s="70" t="s">
        <v>41</v>
      </c>
      <c r="F156" s="71">
        <v>0</v>
      </c>
      <c r="G156" s="72" t="s">
        <v>8</v>
      </c>
      <c r="H156" s="73" t="s">
        <v>36</v>
      </c>
      <c r="I156" s="74" t="s">
        <v>37</v>
      </c>
      <c r="J156" s="75" t="s">
        <v>204</v>
      </c>
    </row>
    <row r="157" spans="1:10" x14ac:dyDescent="0.25">
      <c r="A157" s="67">
        <v>155</v>
      </c>
      <c r="B157" s="68" t="s">
        <v>202</v>
      </c>
      <c r="C157" s="75" t="s">
        <v>39</v>
      </c>
      <c r="D157" s="68" t="s">
        <v>205</v>
      </c>
      <c r="E157" s="70" t="s">
        <v>41</v>
      </c>
      <c r="F157" s="71">
        <v>1</v>
      </c>
      <c r="G157" s="72" t="s">
        <v>4</v>
      </c>
      <c r="H157" s="73" t="s">
        <v>36</v>
      </c>
      <c r="I157" s="74" t="s">
        <v>37</v>
      </c>
      <c r="J157" s="75" t="s">
        <v>206</v>
      </c>
    </row>
    <row r="158" ht="25.5" customHeight="1" spans="1:10" x14ac:dyDescent="0.25">
      <c r="A158" s="67">
        <v>156</v>
      </c>
      <c r="B158" s="68" t="s">
        <v>202</v>
      </c>
      <c r="C158" s="75" t="s">
        <v>39</v>
      </c>
      <c r="D158" s="68" t="s">
        <v>207</v>
      </c>
      <c r="E158" s="70" t="s">
        <v>35</v>
      </c>
      <c r="F158" s="71">
        <v>0</v>
      </c>
      <c r="G158" s="72" t="s">
        <v>6</v>
      </c>
      <c r="H158" s="73" t="s">
        <v>36</v>
      </c>
      <c r="I158" s="74" t="s">
        <v>37</v>
      </c>
      <c r="J158" s="75" t="s">
        <v>37</v>
      </c>
    </row>
    <row r="159" spans="1:10" x14ac:dyDescent="0.25">
      <c r="A159" s="67">
        <v>157</v>
      </c>
      <c r="B159" s="68" t="s">
        <v>202</v>
      </c>
      <c r="C159" s="75" t="s">
        <v>33</v>
      </c>
      <c r="D159" s="68" t="s">
        <v>208</v>
      </c>
      <c r="E159" s="70" t="s">
        <v>35</v>
      </c>
      <c r="F159" s="71">
        <v>1</v>
      </c>
      <c r="G159" s="72" t="s">
        <v>4</v>
      </c>
      <c r="H159" s="73" t="s">
        <v>36</v>
      </c>
      <c r="I159" s="74" t="s">
        <v>37</v>
      </c>
      <c r="J159" s="75" t="s">
        <v>37</v>
      </c>
    </row>
    <row r="160" ht="25.5" customHeight="1" spans="1:10" x14ac:dyDescent="0.25">
      <c r="A160" s="67">
        <v>158</v>
      </c>
      <c r="B160" s="68" t="s">
        <v>202</v>
      </c>
      <c r="C160" s="75" t="s">
        <v>39</v>
      </c>
      <c r="D160" s="68" t="s">
        <v>209</v>
      </c>
      <c r="E160" s="70" t="s">
        <v>35</v>
      </c>
      <c r="F160" s="71">
        <v>1</v>
      </c>
      <c r="G160" s="72" t="s">
        <v>4</v>
      </c>
      <c r="H160" s="73" t="s">
        <v>36</v>
      </c>
      <c r="I160" s="74" t="s">
        <v>37</v>
      </c>
      <c r="J160" s="75" t="s">
        <v>37</v>
      </c>
    </row>
    <row r="161" spans="1:10" x14ac:dyDescent="0.25">
      <c r="A161" s="67">
        <v>159</v>
      </c>
      <c r="B161" s="68" t="s">
        <v>210</v>
      </c>
      <c r="C161" s="75" t="s">
        <v>39</v>
      </c>
      <c r="D161" s="68" t="s">
        <v>211</v>
      </c>
      <c r="E161" s="70" t="s">
        <v>35</v>
      </c>
      <c r="F161" s="71">
        <v>1</v>
      </c>
      <c r="G161" s="72" t="s">
        <v>4</v>
      </c>
      <c r="H161" s="73" t="s">
        <v>36</v>
      </c>
      <c r="I161" s="74">
        <v>46183.79166666667</v>
      </c>
      <c r="J161" s="75" t="s">
        <v>37</v>
      </c>
    </row>
    <row r="162" spans="1:10" x14ac:dyDescent="0.25">
      <c r="A162" s="67">
        <v>160</v>
      </c>
      <c r="B162" s="68" t="s">
        <v>210</v>
      </c>
      <c r="C162" s="75" t="s">
        <v>39</v>
      </c>
      <c r="D162" s="68" t="s">
        <v>212</v>
      </c>
      <c r="E162" s="70" t="s">
        <v>35</v>
      </c>
      <c r="F162" s="71">
        <v>0</v>
      </c>
      <c r="G162" s="72" t="s">
        <v>6</v>
      </c>
      <c r="H162" s="73" t="s">
        <v>49</v>
      </c>
      <c r="I162" s="74">
        <v>46202.79166666667</v>
      </c>
      <c r="J162" s="75" t="s">
        <v>37</v>
      </c>
    </row>
    <row r="163" spans="1:10" x14ac:dyDescent="0.25">
      <c r="A163" s="67">
        <v>161</v>
      </c>
      <c r="B163" s="68" t="s">
        <v>210</v>
      </c>
      <c r="C163" s="75" t="s">
        <v>39</v>
      </c>
      <c r="D163" s="68" t="s">
        <v>213</v>
      </c>
      <c r="E163" s="70" t="s">
        <v>35</v>
      </c>
      <c r="F163" s="71">
        <v>0</v>
      </c>
      <c r="G163" s="72" t="s">
        <v>6</v>
      </c>
      <c r="H163" s="73" t="s">
        <v>36</v>
      </c>
      <c r="I163" s="74">
        <v>46202.79166666667</v>
      </c>
      <c r="J163" s="75" t="s">
        <v>37</v>
      </c>
    </row>
    <row r="164" spans="1:10" x14ac:dyDescent="0.25">
      <c r="A164" s="67">
        <v>162</v>
      </c>
      <c r="B164" s="68" t="s">
        <v>210</v>
      </c>
      <c r="C164" s="75" t="s">
        <v>39</v>
      </c>
      <c r="D164" s="68" t="s">
        <v>214</v>
      </c>
      <c r="E164" s="70" t="s">
        <v>41</v>
      </c>
      <c r="F164" s="71">
        <v>0</v>
      </c>
      <c r="G164" s="73" t="s">
        <v>5</v>
      </c>
      <c r="H164" s="73" t="s">
        <v>49</v>
      </c>
      <c r="I164" s="74">
        <v>46187.79166666667</v>
      </c>
      <c r="J164" s="75" t="s">
        <v>37</v>
      </c>
    </row>
    <row r="165" spans="1:10" x14ac:dyDescent="0.25">
      <c r="A165" s="67">
        <v>163</v>
      </c>
      <c r="B165" s="68" t="s">
        <v>210</v>
      </c>
      <c r="C165" s="75" t="s">
        <v>33</v>
      </c>
      <c r="D165" s="68" t="s">
        <v>215</v>
      </c>
      <c r="E165" s="70" t="s">
        <v>35</v>
      </c>
      <c r="F165" s="71">
        <v>1</v>
      </c>
      <c r="G165" s="72" t="s">
        <v>4</v>
      </c>
      <c r="H165" s="73" t="s">
        <v>49</v>
      </c>
      <c r="I165" s="74">
        <v>46202.79166666667</v>
      </c>
      <c r="J165" s="75" t="s">
        <v>37</v>
      </c>
    </row>
    <row r="166" spans="1:10" x14ac:dyDescent="0.25">
      <c r="A166" s="67">
        <v>164</v>
      </c>
      <c r="B166" s="68" t="s">
        <v>210</v>
      </c>
      <c r="C166" s="75" t="s">
        <v>39</v>
      </c>
      <c r="D166" s="68" t="s">
        <v>216</v>
      </c>
      <c r="E166" s="70" t="s">
        <v>35</v>
      </c>
      <c r="F166" s="71">
        <v>0.9</v>
      </c>
      <c r="G166" s="72" t="s">
        <v>5</v>
      </c>
      <c r="H166" s="73" t="s">
        <v>36</v>
      </c>
      <c r="I166" s="74">
        <v>46202.79166666667</v>
      </c>
      <c r="J166" s="75" t="s">
        <v>37</v>
      </c>
    </row>
    <row r="167" spans="1:10" x14ac:dyDescent="0.25">
      <c r="A167" s="67">
        <v>165</v>
      </c>
      <c r="B167" s="68" t="s">
        <v>210</v>
      </c>
      <c r="C167" s="75" t="s">
        <v>39</v>
      </c>
      <c r="D167" s="68" t="s">
        <v>217</v>
      </c>
      <c r="E167" s="70" t="s">
        <v>35</v>
      </c>
      <c r="F167" s="71">
        <v>0</v>
      </c>
      <c r="G167" s="72" t="s">
        <v>6</v>
      </c>
      <c r="H167" s="73" t="s">
        <v>36</v>
      </c>
      <c r="I167" s="74">
        <v>46202.79166666667</v>
      </c>
      <c r="J167" s="75" t="s">
        <v>37</v>
      </c>
    </row>
    <row r="168" ht="25.5" customHeight="1" spans="1:10" x14ac:dyDescent="0.25">
      <c r="A168" s="67">
        <v>166</v>
      </c>
      <c r="B168" s="68" t="s">
        <v>210</v>
      </c>
      <c r="C168" s="69" t="s">
        <v>39</v>
      </c>
      <c r="D168" s="68" t="s">
        <v>218</v>
      </c>
      <c r="E168" s="70" t="s">
        <v>35</v>
      </c>
      <c r="F168" s="71">
        <v>0</v>
      </c>
      <c r="G168" s="73" t="s">
        <v>5</v>
      </c>
      <c r="H168" s="73" t="s">
        <v>36</v>
      </c>
      <c r="I168" s="74">
        <v>46202.79166666667</v>
      </c>
      <c r="J168" s="69" t="s">
        <v>37</v>
      </c>
    </row>
    <row r="169" spans="1:10" x14ac:dyDescent="0.25">
      <c r="A169" s="67">
        <v>167</v>
      </c>
      <c r="B169" s="68" t="s">
        <v>210</v>
      </c>
      <c r="C169" s="69" t="s">
        <v>33</v>
      </c>
      <c r="D169" s="68" t="s">
        <v>219</v>
      </c>
      <c r="E169" s="70" t="s">
        <v>35</v>
      </c>
      <c r="F169" s="71">
        <v>0</v>
      </c>
      <c r="G169" s="72" t="s">
        <v>6</v>
      </c>
      <c r="H169" s="73" t="s">
        <v>36</v>
      </c>
      <c r="I169" s="74">
        <v>46202.79166666667</v>
      </c>
      <c r="J169" s="69" t="s">
        <v>37</v>
      </c>
    </row>
    <row r="170" spans="1:10" x14ac:dyDescent="0.25">
      <c r="A170" s="67">
        <v>168</v>
      </c>
      <c r="B170" s="68" t="s">
        <v>210</v>
      </c>
      <c r="C170" s="69" t="s">
        <v>39</v>
      </c>
      <c r="D170" s="68" t="s">
        <v>220</v>
      </c>
      <c r="E170" s="70" t="s">
        <v>35</v>
      </c>
      <c r="F170" s="71">
        <v>1</v>
      </c>
      <c r="G170" s="72" t="s">
        <v>4</v>
      </c>
      <c r="H170" s="73" t="s">
        <v>36</v>
      </c>
      <c r="I170" s="74">
        <v>46202.79166666667</v>
      </c>
      <c r="J170" s="69" t="s">
        <v>37</v>
      </c>
    </row>
    <row r="171" spans="1:10" x14ac:dyDescent="0.25">
      <c r="A171" s="67">
        <v>169</v>
      </c>
      <c r="B171" s="68" t="s">
        <v>210</v>
      </c>
      <c r="C171" s="69" t="s">
        <v>39</v>
      </c>
      <c r="D171" s="68" t="s">
        <v>221</v>
      </c>
      <c r="E171" s="70" t="s">
        <v>35</v>
      </c>
      <c r="F171" s="71">
        <v>0</v>
      </c>
      <c r="G171" s="72" t="s">
        <v>6</v>
      </c>
      <c r="H171" s="73" t="s">
        <v>36</v>
      </c>
      <c r="I171" s="74">
        <v>46202.79166666667</v>
      </c>
      <c r="J171" s="69" t="s">
        <v>37</v>
      </c>
    </row>
    <row r="172" spans="1:10" x14ac:dyDescent="0.25">
      <c r="A172" s="67">
        <v>170</v>
      </c>
      <c r="B172" s="68" t="s">
        <v>210</v>
      </c>
      <c r="C172" s="69" t="s">
        <v>39</v>
      </c>
      <c r="D172" s="68" t="s">
        <v>222</v>
      </c>
      <c r="E172" s="70" t="s">
        <v>35</v>
      </c>
      <c r="F172" s="71">
        <v>0.5</v>
      </c>
      <c r="G172" s="72" t="s">
        <v>6</v>
      </c>
      <c r="H172" s="73" t="s">
        <v>36</v>
      </c>
      <c r="I172" s="74">
        <v>46202.79166666667</v>
      </c>
      <c r="J172" s="69" t="s">
        <v>37</v>
      </c>
    </row>
    <row r="173" spans="1:10" x14ac:dyDescent="0.25">
      <c r="A173" s="67">
        <v>171</v>
      </c>
      <c r="B173" s="68" t="s">
        <v>210</v>
      </c>
      <c r="C173" s="69" t="s">
        <v>39</v>
      </c>
      <c r="D173" s="68" t="s">
        <v>223</v>
      </c>
      <c r="E173" s="70" t="s">
        <v>35</v>
      </c>
      <c r="F173" s="71">
        <v>0.8</v>
      </c>
      <c r="G173" s="72" t="s">
        <v>6</v>
      </c>
      <c r="H173" s="73" t="s">
        <v>36</v>
      </c>
      <c r="I173" s="74">
        <v>46202.79166666667</v>
      </c>
      <c r="J173" s="69" t="s">
        <v>37</v>
      </c>
    </row>
    <row r="174" spans="1:10" x14ac:dyDescent="0.25">
      <c r="A174" s="67">
        <v>172</v>
      </c>
      <c r="B174" s="68" t="s">
        <v>210</v>
      </c>
      <c r="C174" s="69" t="s">
        <v>39</v>
      </c>
      <c r="D174" s="68" t="s">
        <v>224</v>
      </c>
      <c r="E174" s="70" t="s">
        <v>35</v>
      </c>
      <c r="F174" s="71">
        <v>0.5</v>
      </c>
      <c r="G174" s="72" t="s">
        <v>5</v>
      </c>
      <c r="H174" s="73" t="s">
        <v>49</v>
      </c>
      <c r="I174" s="74">
        <v>46202.79166666667</v>
      </c>
      <c r="J174" s="69" t="s">
        <v>37</v>
      </c>
    </row>
    <row r="175" spans="1:10" x14ac:dyDescent="0.25">
      <c r="A175" s="67">
        <v>173</v>
      </c>
      <c r="B175" s="68" t="s">
        <v>210</v>
      </c>
      <c r="C175" s="69" t="s">
        <v>39</v>
      </c>
      <c r="D175" s="68" t="s">
        <v>225</v>
      </c>
      <c r="E175" s="70" t="s">
        <v>35</v>
      </c>
      <c r="F175" s="71">
        <v>0.5</v>
      </c>
      <c r="G175" s="72" t="s">
        <v>5</v>
      </c>
      <c r="H175" s="73" t="s">
        <v>49</v>
      </c>
      <c r="I175" s="74">
        <v>46202.79166666667</v>
      </c>
      <c r="J175" s="69" t="s">
        <v>37</v>
      </c>
    </row>
    <row r="176" spans="1:10" x14ac:dyDescent="0.25">
      <c r="A176" s="67">
        <v>174</v>
      </c>
      <c r="B176" s="68" t="s">
        <v>210</v>
      </c>
      <c r="C176" s="69" t="s">
        <v>33</v>
      </c>
      <c r="D176" s="68" t="s">
        <v>226</v>
      </c>
      <c r="E176" s="70" t="s">
        <v>35</v>
      </c>
      <c r="F176" s="71">
        <v>0.8</v>
      </c>
      <c r="G176" s="72" t="s">
        <v>5</v>
      </c>
      <c r="H176" s="73" t="s">
        <v>36</v>
      </c>
      <c r="I176" s="74">
        <v>46202.79166666667</v>
      </c>
      <c r="J176" s="69" t="s">
        <v>37</v>
      </c>
    </row>
    <row r="177" spans="1:10" x14ac:dyDescent="0.25">
      <c r="A177" s="67">
        <v>175</v>
      </c>
      <c r="B177" s="68" t="s">
        <v>210</v>
      </c>
      <c r="C177" s="69" t="s">
        <v>39</v>
      </c>
      <c r="D177" s="68" t="s">
        <v>227</v>
      </c>
      <c r="E177" s="70" t="s">
        <v>35</v>
      </c>
      <c r="F177" s="71">
        <v>1</v>
      </c>
      <c r="G177" s="72" t="s">
        <v>4</v>
      </c>
      <c r="H177" s="73" t="s">
        <v>36</v>
      </c>
      <c r="I177" s="74">
        <v>46202.79166666667</v>
      </c>
      <c r="J177" s="69" t="s">
        <v>37</v>
      </c>
    </row>
    <row r="178" spans="1:10" x14ac:dyDescent="0.25">
      <c r="A178" s="67">
        <v>176</v>
      </c>
      <c r="B178" s="68" t="s">
        <v>210</v>
      </c>
      <c r="C178" s="69" t="s">
        <v>39</v>
      </c>
      <c r="D178" s="68" t="s">
        <v>228</v>
      </c>
      <c r="E178" s="70" t="s">
        <v>35</v>
      </c>
      <c r="F178" s="71">
        <v>1</v>
      </c>
      <c r="G178" s="72" t="s">
        <v>4</v>
      </c>
      <c r="H178" s="73" t="s">
        <v>36</v>
      </c>
      <c r="I178" s="74">
        <v>46202.79166666667</v>
      </c>
      <c r="J178" s="69" t="s">
        <v>37</v>
      </c>
    </row>
    <row r="179" spans="1:10" x14ac:dyDescent="0.25">
      <c r="A179" s="67">
        <v>177</v>
      </c>
      <c r="B179" s="68" t="s">
        <v>210</v>
      </c>
      <c r="C179" s="69" t="s">
        <v>39</v>
      </c>
      <c r="D179" s="68" t="s">
        <v>229</v>
      </c>
      <c r="E179" s="70" t="s">
        <v>35</v>
      </c>
      <c r="F179" s="71">
        <v>0</v>
      </c>
      <c r="G179" s="72" t="s">
        <v>6</v>
      </c>
      <c r="H179" s="73" t="s">
        <v>49</v>
      </c>
      <c r="I179" s="74">
        <v>46202.79166666667</v>
      </c>
      <c r="J179" s="69" t="s">
        <v>37</v>
      </c>
    </row>
    <row r="180" spans="1:10" x14ac:dyDescent="0.25">
      <c r="A180" s="67">
        <v>178</v>
      </c>
      <c r="B180" s="68" t="s">
        <v>146</v>
      </c>
      <c r="C180" s="69" t="s">
        <v>39</v>
      </c>
      <c r="D180" s="68" t="s">
        <v>230</v>
      </c>
      <c r="E180" s="70" t="s">
        <v>35</v>
      </c>
      <c r="F180" s="71">
        <v>1</v>
      </c>
      <c r="G180" s="72" t="s">
        <v>4</v>
      </c>
      <c r="H180" s="73" t="s">
        <v>37</v>
      </c>
      <c r="I180" s="74">
        <v>46210.79166666667</v>
      </c>
      <c r="J180" s="69" t="s">
        <v>37</v>
      </c>
    </row>
    <row r="181" spans="1:10" x14ac:dyDescent="0.25">
      <c r="A181" s="67">
        <v>179</v>
      </c>
      <c r="B181" s="68" t="s">
        <v>98</v>
      </c>
      <c r="C181" s="69" t="s">
        <v>39</v>
      </c>
      <c r="D181" s="68" t="s">
        <v>231</v>
      </c>
      <c r="E181" s="70" t="s">
        <v>35</v>
      </c>
      <c r="F181" s="71">
        <v>1</v>
      </c>
      <c r="G181" s="72" t="s">
        <v>4</v>
      </c>
      <c r="H181" s="73" t="s">
        <v>37</v>
      </c>
      <c r="I181" s="74">
        <v>46209.79166666667</v>
      </c>
      <c r="J181" s="69" t="s">
        <v>37</v>
      </c>
    </row>
    <row r="182" spans="1:10" x14ac:dyDescent="0.25">
      <c r="A182" s="67">
        <v>180</v>
      </c>
      <c r="B182" s="68" t="s">
        <v>98</v>
      </c>
      <c r="C182" s="69" t="s">
        <v>39</v>
      </c>
      <c r="D182" s="68" t="s">
        <v>232</v>
      </c>
      <c r="E182" s="70" t="s">
        <v>41</v>
      </c>
      <c r="F182" s="71">
        <v>1</v>
      </c>
      <c r="G182" s="72" t="s">
        <v>4</v>
      </c>
      <c r="H182" s="73" t="s">
        <v>36</v>
      </c>
      <c r="I182" s="74">
        <v>46209.79166666667</v>
      </c>
      <c r="J182" s="69" t="s">
        <v>37</v>
      </c>
    </row>
    <row r="183" spans="1:10" x14ac:dyDescent="0.25">
      <c r="A183" s="67">
        <v>181</v>
      </c>
      <c r="B183" s="68" t="s">
        <v>114</v>
      </c>
      <c r="C183" s="69" t="s">
        <v>39</v>
      </c>
      <c r="D183" s="68" t="s">
        <v>233</v>
      </c>
      <c r="E183" s="70" t="s">
        <v>41</v>
      </c>
      <c r="F183" s="71">
        <v>1</v>
      </c>
      <c r="G183" s="72" t="s">
        <v>4</v>
      </c>
      <c r="H183" s="73" t="s">
        <v>37</v>
      </c>
      <c r="I183" s="74">
        <v>46174.79166666667</v>
      </c>
      <c r="J183" s="69" t="s">
        <v>37</v>
      </c>
    </row>
  </sheetData>
  <autoFilter ref="A2:J183"/>
  <mergeCells count="1">
    <mergeCell ref="A1:I1"/>
  </mergeCells>
  <conditionalFormatting sqref="E3:E206">
    <cfRule type="expression" dxfId="0" priority="7">
      <formula>$E3="High"</formula>
    </cfRule>
    <cfRule type="expression" dxfId="1" priority="8">
      <formula>$E3="Medium"</formula>
    </cfRule>
    <cfRule type="expression" dxfId="2" priority="9">
      <formula>$E3="Low"</formula>
    </cfRule>
  </conditionalFormatting>
  <conditionalFormatting sqref="F4:F27 F140:F168">
    <cfRule type="dataBar" priority="135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{41321046-DE64-4F65-A93A-F6B9A012C873}</x14:id>
        </ext>
      </extLst>
    </cfRule>
  </conditionalFormatting>
  <conditionalFormatting sqref="F13">
    <cfRule type="dataBar" priority="126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{ACB364F4-5E7C-4881-8B1C-2E7DF5579160}</x14:id>
        </ext>
      </extLst>
    </cfRule>
  </conditionalFormatting>
  <conditionalFormatting sqref="F28">
    <cfRule type="dataBar" priority="47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{923E1CDB-8EC4-45BB-9216-2FF5591F34B8}</x14:id>
        </ext>
      </extLst>
    </cfRule>
  </conditionalFormatting>
  <conditionalFormatting sqref="F29">
    <cfRule type="dataBar" priority="38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{D76C26CD-1FF1-4D94-A9F1-1E9E922A18A4}</x14:id>
        </ext>
      </extLst>
    </cfRule>
  </conditionalFormatting>
  <conditionalFormatting sqref="F30">
    <cfRule type="dataBar" priority="29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{643C59D0-B642-42E7-879D-7A903FFD0FEF}</x14:id>
        </ext>
      </extLst>
    </cfRule>
  </conditionalFormatting>
  <conditionalFormatting sqref="F31:F137 F3">
    <cfRule type="dataBar" priority="56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{FB9B4588-8F76-44CA-BEBA-FA5586BB70E6}</x14:id>
        </ext>
      </extLst>
    </cfRule>
  </conditionalFormatting>
  <conditionalFormatting sqref="F111">
    <cfRule type="dataBar" priority="109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{C656D187-ABFD-45EB-9B41-7B7494154A29}</x14:id>
        </ext>
      </extLst>
    </cfRule>
  </conditionalFormatting>
  <conditionalFormatting sqref="F112">
    <cfRule type="dataBar" priority="100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{6E2AC179-2DC0-4FA1-AEC9-CA9100F27698}</x14:id>
        </ext>
      </extLst>
    </cfRule>
  </conditionalFormatting>
  <conditionalFormatting sqref="F126">
    <cfRule type="dataBar" priority="58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{152291ED-EA96-48F2-AE62-8464962F23EF}</x14:id>
        </ext>
      </extLst>
    </cfRule>
  </conditionalFormatting>
  <conditionalFormatting sqref="F127:F137 F140:F153">
    <cfRule type="dataBar" priority="57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{A6BEDAC9-4186-4E3D-820A-5B60E48078E2}</x14:id>
        </ext>
      </extLst>
    </cfRule>
  </conditionalFormatting>
  <conditionalFormatting sqref="F138">
    <cfRule type="dataBar" priority="1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{404395BB-F2E4-47C7-9A97-7D4C8A36EBDA}</x14:id>
        </ext>
      </extLst>
    </cfRule>
    <cfRule type="dataBar" priority="10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{2518C7E4-D2C4-4065-A0B5-B42BF70ADC02}</x14:id>
        </ext>
      </extLst>
    </cfRule>
  </conditionalFormatting>
  <conditionalFormatting sqref="F139">
    <cfRule type="dataBar" priority="11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{C7BB7EF5-66CF-4677-B7E7-F5A288F68AE0}</x14:id>
        </ext>
      </extLst>
    </cfRule>
    <cfRule type="dataBar" priority="20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{F288D7CB-0136-46DA-92E3-C79F5057D286}</x14:id>
        </ext>
      </extLst>
    </cfRule>
  </conditionalFormatting>
  <conditionalFormatting sqref="G3:H206">
    <cfRule type="expression" dxfId="3" priority="2">
      <formula>$G3="Completed"</formula>
    </cfRule>
    <cfRule type="expression" dxfId="4" priority="3">
      <formula>$G3="In Progress"</formula>
    </cfRule>
    <cfRule type="expression" dxfId="5" priority="4">
      <formula>$G3="Not Started"</formula>
    </cfRule>
    <cfRule type="expression" dxfId="6" priority="5">
      <formula>$G3="Blocked"</formula>
    </cfRule>
    <cfRule type="expression" dxfId="7" priority="6">
      <formula>$G3="Pending Procurement"</formula>
    </cfRule>
  </conditionalFormatting>
  <dataValidations count="8">
    <dataValidation type="list" allowBlank="1" sqref="B10:B206">
      <formula1>"Press,Trimming,Washing,Lacquer,Base Coat,Printing,Over Varnish,Main Oven,Necking,Mixer,General"</formula1>
      <formula2>0</formula2>
    </dataValidation>
    <dataValidation type="list" allowBlank="1" sqref="B3:B206">
      <formula1>"Press,Trimming,Washing,Lacquer,Base Coat,Printing,Over Varnish,Main Oven,Necking,Mixer,General"</formula1>
      <formula2>0</formula2>
    </dataValidation>
    <dataValidation type="list" allowBlank="1" sqref="C10:C206">
      <formula1>"Electrical,Mechanical"</formula1>
      <formula2>0</formula2>
    </dataValidation>
    <dataValidation type="list" allowBlank="1" sqref="C3:C206">
      <formula1>"Electrical,Mechanical"</formula1>
      <formula2>0</formula2>
    </dataValidation>
    <dataValidation type="list" allowBlank="1" sqref="E10:E206">
      <formula1>"High,Medium,Low"</formula1>
      <formula2>0</formula2>
    </dataValidation>
    <dataValidation type="list" allowBlank="1" sqref="E3:E206">
      <formula1>"High,Medium,Low"</formula1>
      <formula2>0</formula2>
    </dataValidation>
    <dataValidation type="list" allowBlank="1" sqref="G10:G206">
      <formula1>"Not Started,In Progress,Completed,Blocked,Pending Procurement"</formula1>
      <formula2>0</formula2>
    </dataValidation>
    <dataValidation type="list" allowBlank="1" sqref="G3:G206">
      <formula1>"Not Started,In Progress,Completed,Blocked,Pending Procurement"</formula1>
      <formula2>0</formula2>
    </dataValidation>
  </dataValidations>
  <hyperlinks>
    <hyperlink ref="J1" r:id="rId1"/>
  </hyperlink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6"/>
  <sheetViews>
    <sheetView workbookViewId="0" showGridLines="0" zoomScale="100" zoomScaleNormal="100">
      <selection activeCell="B11" sqref="B11"/>
    </sheetView>
  </sheetViews>
  <sheetFormatPr defaultRowHeight="15" outlineLevelRow="0" outlineLevelCol="0" x14ac:dyDescent="0.25" defaultColWidth="8.7109375"/>
  <cols>
    <col min="1" max="1" width="3" customWidth="1"/>
    <col min="2" max="2" width="28" customWidth="1"/>
    <col min="3" max="3" width="62" customWidth="1"/>
  </cols>
  <sheetData>
    <row r="1" ht="30" customHeight="1" spans="2:3" x14ac:dyDescent="0.25">
      <c r="B1" s="76" t="s">
        <v>234</v>
      </c>
      <c r="C1" s="76"/>
    </row>
    <row r="2" ht="24" customHeight="1" spans="2:3" x14ac:dyDescent="0.25">
      <c r="B2" s="77" t="s">
        <v>235</v>
      </c>
      <c r="C2" s="77" t="s">
        <v>236</v>
      </c>
    </row>
    <row r="3" ht="27.75" customHeight="1" spans="2:6" x14ac:dyDescent="0.25">
      <c r="B3" s="78" t="s">
        <v>237</v>
      </c>
      <c r="C3" s="79" t="s">
        <v>238</v>
      </c>
      <c r="F3" t="s">
        <v>36</v>
      </c>
    </row>
    <row r="4" ht="27.75" customHeight="1" spans="2:6" x14ac:dyDescent="0.25">
      <c r="B4" s="80" t="s">
        <v>10</v>
      </c>
      <c r="C4" s="81" t="s">
        <v>239</v>
      </c>
      <c r="F4" t="s">
        <v>49</v>
      </c>
    </row>
    <row r="5" ht="27.75" customHeight="1" spans="2:3" x14ac:dyDescent="0.25">
      <c r="B5" s="78" t="s">
        <v>24</v>
      </c>
      <c r="C5" s="79" t="s">
        <v>240</v>
      </c>
    </row>
    <row r="6" ht="27.75" customHeight="1" spans="2:3" x14ac:dyDescent="0.25">
      <c r="B6" s="80" t="s">
        <v>25</v>
      </c>
      <c r="C6" s="81" t="s">
        <v>241</v>
      </c>
    </row>
    <row r="7" ht="27.75" customHeight="1" spans="2:3" x14ac:dyDescent="0.25">
      <c r="B7" s="78" t="s">
        <v>26</v>
      </c>
      <c r="C7" s="79" t="s">
        <v>242</v>
      </c>
    </row>
    <row r="8" ht="27.75" customHeight="1" spans="2:3" x14ac:dyDescent="0.25">
      <c r="B8" s="80" t="s">
        <v>27</v>
      </c>
      <c r="C8" s="81" t="s">
        <v>243</v>
      </c>
    </row>
    <row r="9" ht="27.75" customHeight="1" spans="2:3" x14ac:dyDescent="0.25">
      <c r="B9" s="78" t="s">
        <v>28</v>
      </c>
      <c r="C9" s="79" t="s">
        <v>244</v>
      </c>
    </row>
    <row r="10" ht="27.75" customHeight="1" spans="2:3" x14ac:dyDescent="0.25">
      <c r="B10" s="80" t="s">
        <v>31</v>
      </c>
      <c r="C10" s="81" t="s">
        <v>245</v>
      </c>
    </row>
    <row r="11" ht="27.75" customHeight="1" spans="2:3" x14ac:dyDescent="0.25">
      <c r="B11" s="78" t="s">
        <v>246</v>
      </c>
      <c r="C11" s="79" t="s">
        <v>247</v>
      </c>
    </row>
    <row r="12" ht="27.75" customHeight="1" spans="2:3" x14ac:dyDescent="0.25">
      <c r="B12" s="80" t="s">
        <v>248</v>
      </c>
      <c r="C12" s="81" t="s">
        <v>249</v>
      </c>
    </row>
    <row r="13" ht="27.75" customHeight="1" spans="2:3" x14ac:dyDescent="0.25">
      <c r="B13" s="78" t="s">
        <v>250</v>
      </c>
      <c r="C13" s="79" t="s">
        <v>251</v>
      </c>
    </row>
    <row r="14" ht="27.75" customHeight="1" spans="2:3" x14ac:dyDescent="0.25">
      <c r="B14" s="80" t="s">
        <v>252</v>
      </c>
      <c r="C14" s="81" t="s">
        <v>253</v>
      </c>
    </row>
    <row r="15" ht="27.75" customHeight="1" spans="2:3" x14ac:dyDescent="0.25">
      <c r="B15" s="78" t="s">
        <v>254</v>
      </c>
      <c r="C15" s="79" t="s">
        <v>255</v>
      </c>
    </row>
    <row r="16" ht="27.75" customHeight="1" spans="2:3" x14ac:dyDescent="0.25">
      <c r="B16" s="80" t="s">
        <v>256</v>
      </c>
      <c r="C16" s="81" t="s">
        <v>257</v>
      </c>
    </row>
  </sheetData>
  <mergeCells count="1">
    <mergeCell ref="B1:C1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TRACKER</vt:lpstr>
      <vt:lpstr>HOW TO 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HP</cp:lastModifiedBy>
  <dcterms:created xsi:type="dcterms:W3CDTF">2026-05-21T10:48:17Z</dcterms:created>
  <dcterms:modified xsi:type="dcterms:W3CDTF">2026-06-19T07:30:04Z</dcterms:modified>
</cp:coreProperties>
</file>